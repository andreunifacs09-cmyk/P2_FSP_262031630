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xr:revisionPtr revIDLastSave="0" documentId="8_{F97769AF-8C83-4D39-BA21-465DB91494E3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ão Paulo " sheetId="1" r:id="rId1"/>
    <sheet name="Campinas" sheetId="2" r:id="rId2"/>
    <sheet name="Comparativo e Evoluçã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D4" i="3"/>
  <c r="C18" i="3"/>
  <c r="C17" i="3"/>
  <c r="B16" i="3"/>
  <c r="C3" i="3"/>
  <c r="D25" i="2"/>
  <c r="D3" i="2"/>
  <c r="C3" i="2"/>
  <c r="K25" i="2"/>
  <c r="J25" i="2"/>
  <c r="I25" i="2"/>
  <c r="H25" i="2"/>
  <c r="G25" i="2"/>
  <c r="F25" i="2"/>
  <c r="E25" i="2"/>
  <c r="C25" i="2"/>
  <c r="K24" i="2"/>
  <c r="J24" i="2"/>
  <c r="I24" i="2"/>
  <c r="H24" i="2"/>
  <c r="G24" i="2"/>
  <c r="F24" i="2"/>
  <c r="E24" i="2"/>
  <c r="D24" i="2"/>
  <c r="C24" i="2"/>
  <c r="K23" i="2"/>
  <c r="J23" i="2"/>
  <c r="I23" i="2"/>
  <c r="H23" i="2"/>
  <c r="G23" i="2"/>
  <c r="F23" i="2"/>
  <c r="E23" i="2"/>
  <c r="D23" i="2"/>
  <c r="C23" i="2"/>
  <c r="K22" i="2"/>
  <c r="J22" i="2"/>
  <c r="I22" i="2"/>
  <c r="H22" i="2"/>
  <c r="G22" i="2"/>
  <c r="F22" i="2"/>
  <c r="E22" i="2"/>
  <c r="D22" i="2"/>
  <c r="C22" i="2"/>
  <c r="K21" i="2"/>
  <c r="J21" i="2"/>
  <c r="I21" i="2"/>
  <c r="H21" i="2"/>
  <c r="G21" i="2"/>
  <c r="F21" i="2"/>
  <c r="E21" i="2"/>
  <c r="D21" i="2"/>
  <c r="C21" i="2"/>
  <c r="K20" i="2"/>
  <c r="J20" i="2"/>
  <c r="I20" i="2"/>
  <c r="H20" i="2"/>
  <c r="G20" i="2"/>
  <c r="F20" i="2"/>
  <c r="E20" i="2"/>
  <c r="D20" i="2"/>
  <c r="C20" i="2"/>
  <c r="K19" i="2"/>
  <c r="J19" i="2"/>
  <c r="I19" i="2"/>
  <c r="H19" i="2"/>
  <c r="G19" i="2"/>
  <c r="F19" i="2"/>
  <c r="E19" i="2"/>
  <c r="D19" i="2"/>
  <c r="C19" i="2"/>
  <c r="K20" i="1"/>
  <c r="K21" i="1"/>
  <c r="K22" i="1"/>
  <c r="K23" i="1"/>
  <c r="K24" i="1"/>
  <c r="K25" i="1"/>
  <c r="K19" i="1"/>
  <c r="J23" i="1"/>
  <c r="J24" i="1"/>
  <c r="J25" i="1"/>
  <c r="J20" i="1"/>
  <c r="J21" i="1"/>
  <c r="J22" i="1"/>
  <c r="J19" i="1"/>
  <c r="I20" i="1"/>
  <c r="I21" i="1"/>
  <c r="I22" i="1"/>
  <c r="I23" i="1"/>
  <c r="I24" i="1"/>
  <c r="I25" i="1"/>
  <c r="I19" i="1"/>
  <c r="H20" i="1"/>
  <c r="H21" i="1"/>
  <c r="H22" i="1"/>
  <c r="H23" i="1"/>
  <c r="H24" i="1"/>
  <c r="H25" i="1"/>
  <c r="H19" i="1"/>
  <c r="G20" i="1"/>
  <c r="G21" i="1"/>
  <c r="G22" i="1"/>
  <c r="G23" i="1"/>
  <c r="G24" i="1"/>
  <c r="G25" i="1"/>
  <c r="G19" i="1"/>
  <c r="E20" i="1"/>
  <c r="E21" i="1"/>
  <c r="E22" i="1"/>
  <c r="E23" i="1"/>
  <c r="E24" i="1"/>
  <c r="E25" i="1"/>
  <c r="E19" i="1"/>
  <c r="F20" i="1"/>
  <c r="F21" i="1"/>
  <c r="F22" i="1"/>
  <c r="F23" i="1"/>
  <c r="F24" i="1"/>
  <c r="F25" i="1"/>
  <c r="F19" i="1"/>
  <c r="D21" i="1"/>
  <c r="D22" i="1"/>
  <c r="D23" i="1"/>
  <c r="D24" i="1"/>
  <c r="D20" i="1"/>
  <c r="D19" i="1"/>
  <c r="B3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5" i="2" l="1"/>
  <c r="B24" i="2"/>
  <c r="B23" i="2"/>
  <c r="B22" i="2"/>
  <c r="B21" i="2"/>
  <c r="B20" i="2"/>
  <c r="B19" i="2"/>
</calcChain>
</file>

<file path=xl/sharedStrings.xml><?xml version="1.0" encoding="utf-8"?>
<sst xmlns="http://schemas.openxmlformats.org/spreadsheetml/2006/main" count="76" uniqueCount="28">
  <si>
    <t>Receitas Orçamentárias - São Paulo/SP (2016-2025) | Valores em R$ | Fonte: SICONFI/STN</t>
  </si>
  <si>
    <t xml:space="preserve">Categoria </t>
  </si>
  <si>
    <t>Total Receitas</t>
  </si>
  <si>
    <t xml:space="preserve">Receitas Correntes </t>
  </si>
  <si>
    <t xml:space="preserve">Receita Tributária </t>
  </si>
  <si>
    <t>Contribuições</t>
  </si>
  <si>
    <t xml:space="preserve">Rec. Patrimonial </t>
  </si>
  <si>
    <t>Rec. de Serviços</t>
  </si>
  <si>
    <t>Transferências Correntes</t>
  </si>
  <si>
    <t>Outras Rec. Correntes</t>
  </si>
  <si>
    <t>Rec. Intraorçamentárias</t>
  </si>
  <si>
    <t>0.00</t>
  </si>
  <si>
    <t>Receitas de Capital</t>
  </si>
  <si>
    <t xml:space="preserve">Operações de Crédito </t>
  </si>
  <si>
    <t>Transferências de Capital</t>
  </si>
  <si>
    <t xml:space="preserve">Amortização Empréstimos </t>
  </si>
  <si>
    <t>Composição das Receitas Correntes (% do Total de Receitas Correntes)</t>
  </si>
  <si>
    <t xml:space="preserve">- </t>
  </si>
  <si>
    <t>Receitas Orçamentárias - Campinas/SP (2016-2025) | Valores em R$ | Fonte: SICONFI/STN</t>
  </si>
  <si>
    <t>Comparativo de Receitas - São Paulo x Campinas/SP (2016-2025) | Valores em R$ | Fonte: SICONFI/STN</t>
  </si>
  <si>
    <t>Município</t>
  </si>
  <si>
    <t>São Paulo</t>
  </si>
  <si>
    <t>Campinas</t>
  </si>
  <si>
    <t>Receitas Correntes</t>
  </si>
  <si>
    <t>Receita Tributária</t>
  </si>
  <si>
    <t>Ano</t>
  </si>
  <si>
    <t>São Paulo – Total</t>
  </si>
  <si>
    <t>Campinas –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</si>
</sst>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0"/>
  </numFmts>
  <fonts count="14">
    <font>
      <sz val="11"/>
      <color theme="1"/>
      <name val="Aptos Narrow"/>
      <family val="2"/>
      <scheme val="minor"/>
    </font>
    <font>
      <b/>
      <sz val="14"/>
      <color theme="1"/>
      <name val="Aptos Serif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0000"/>
      <name val="Aptos Serif"/>
    </font>
    <font>
      <b/>
      <sz val="11"/>
      <color theme="0"/>
      <name val="Aptos Narrow"/>
      <scheme val="minor"/>
    </font>
    <font>
      <b/>
      <sz val="10"/>
      <color theme="1"/>
      <name val="Microsoft GothicNeo"/>
    </font>
    <font>
      <sz val="10"/>
      <color theme="1"/>
      <name val="Microsoft GothicNeo"/>
    </font>
    <font>
      <b/>
      <sz val="10"/>
      <color theme="0"/>
      <name val="Microsoft GothicNeo"/>
    </font>
    <font>
      <sz val="10"/>
      <color theme="9" tint="-0.499984740745262"/>
      <name val="Microsoft GothicNeo"/>
    </font>
    <font>
      <sz val="11"/>
      <color theme="9" tint="-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Microsoft GothicNeo"/>
    </font>
    <font>
      <b/>
      <sz val="10"/>
      <color rgb="FF000000"/>
      <name val="Microsoft GothicNeo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 style="thin">
        <color theme="5" tint="0.39997558519241921"/>
      </left>
      <right style="thin">
        <color rgb="FF000000"/>
      </right>
      <top style="thin">
        <color theme="5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theme="5" tint="0.39997558519241921"/>
      </top>
      <bottom/>
      <diagonal/>
    </border>
    <border>
      <left style="thin">
        <color rgb="FF000000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theme="9" tint="-0.499984740745262"/>
      </left>
      <right style="thin">
        <color rgb="FF000000"/>
      </right>
      <top style="thin">
        <color theme="9" tint="-0.499984740745262"/>
      </top>
      <bottom style="thin">
        <color rgb="FF000000"/>
      </bottom>
      <diagonal/>
    </border>
    <border>
      <left style="thin">
        <color rgb="FF000000"/>
      </left>
      <right style="thin">
        <color theme="9" tint="-0.499984740745262"/>
      </right>
      <top style="thin">
        <color theme="9" tint="-0.499984740745262"/>
      </top>
      <bottom style="thin">
        <color rgb="FF000000"/>
      </bottom>
      <diagonal/>
    </border>
    <border>
      <left style="thin">
        <color theme="9" tint="-0.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theme="9" tint="-0.499984740745262"/>
      </right>
      <top style="thin">
        <color rgb="FF000000"/>
      </top>
      <bottom style="thin">
        <color rgb="FF000000"/>
      </bottom>
      <diagonal/>
    </border>
    <border>
      <left style="thin">
        <color theme="9" tint="-0.499984740745262"/>
      </left>
      <right style="thin">
        <color rgb="FF000000"/>
      </right>
      <top style="thin">
        <color rgb="FF000000"/>
      </top>
      <bottom style="thin">
        <color theme="9" tint="-0.499984740745262"/>
      </bottom>
      <diagonal/>
    </border>
    <border>
      <left style="thin">
        <color rgb="FF000000"/>
      </left>
      <right style="thin">
        <color theme="9" tint="-0.499984740745262"/>
      </right>
      <top style="thin">
        <color rgb="FF000000"/>
      </top>
      <bottom style="thin">
        <color theme="9" tint="-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rgb="FF000000"/>
      </top>
      <bottom style="thin">
        <color theme="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7">
    <xf numFmtId="0" fontId="0" fillId="0" borderId="0" xfId="0"/>
    <xf numFmtId="164" fontId="0" fillId="0" borderId="0" xfId="0" applyNumberFormat="1"/>
    <xf numFmtId="0" fontId="2" fillId="3" borderId="6" xfId="0" applyFont="1" applyFill="1" applyBorder="1"/>
    <xf numFmtId="0" fontId="5" fillId="3" borderId="6" xfId="0" applyFont="1" applyFill="1" applyBorder="1"/>
    <xf numFmtId="0" fontId="3" fillId="3" borderId="6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2" fontId="6" fillId="4" borderId="5" xfId="0" applyNumberFormat="1" applyFont="1" applyFill="1" applyBorder="1" applyAlignment="1">
      <alignment horizontal="left" vertical="center"/>
    </xf>
    <xf numFmtId="2" fontId="6" fillId="4" borderId="5" xfId="0" applyNumberFormat="1" applyFont="1" applyFill="1" applyBorder="1"/>
    <xf numFmtId="0" fontId="2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left" indent="2"/>
    </xf>
    <xf numFmtId="2" fontId="8" fillId="5" borderId="5" xfId="0" applyNumberFormat="1" applyFont="1" applyFill="1" applyBorder="1"/>
    <xf numFmtId="2" fontId="9" fillId="4" borderId="5" xfId="0" applyNumberFormat="1" applyFont="1" applyFill="1" applyBorder="1" applyAlignment="1">
      <alignment horizontal="left" indent="2"/>
    </xf>
    <xf numFmtId="0" fontId="10" fillId="4" borderId="15" xfId="0" applyFont="1" applyFill="1" applyBorder="1" applyAlignment="1">
      <alignment horizontal="left" indent="2"/>
    </xf>
    <xf numFmtId="2" fontId="13" fillId="4" borderId="15" xfId="0" applyNumberFormat="1" applyFont="1" applyFill="1" applyBorder="1"/>
    <xf numFmtId="0" fontId="6" fillId="4" borderId="21" xfId="0" applyFont="1" applyFill="1" applyBorder="1" applyAlignment="1">
      <alignment horizontal="center"/>
    </xf>
    <xf numFmtId="43" fontId="13" fillId="6" borderId="15" xfId="0" applyNumberFormat="1" applyFont="1" applyFill="1" applyBorder="1"/>
    <xf numFmtId="43" fontId="13" fillId="6" borderId="15" xfId="0" applyNumberFormat="1" applyFont="1" applyFill="1" applyBorder="1" applyAlignment="1" applyProtection="1">
      <alignment vertical="center"/>
      <protection locked="0"/>
    </xf>
    <xf numFmtId="43" fontId="13" fillId="6" borderId="15" xfId="0" applyNumberFormat="1" applyFont="1" applyFill="1" applyBorder="1" applyAlignment="1">
      <alignment horizontal="right"/>
    </xf>
    <xf numFmtId="43" fontId="13" fillId="6" borderId="15" xfId="0" applyNumberFormat="1" applyFont="1" applyFill="1" applyBorder="1" applyAlignment="1">
      <alignment horizontal="right" vertical="center"/>
    </xf>
    <xf numFmtId="43" fontId="13" fillId="6" borderId="5" xfId="0" applyNumberFormat="1" applyFont="1" applyFill="1" applyBorder="1" applyAlignment="1" applyProtection="1">
      <alignment vertical="center"/>
      <protection locked="0"/>
    </xf>
    <xf numFmtId="43" fontId="13" fillId="6" borderId="5" xfId="0" applyNumberFormat="1" applyFont="1" applyFill="1" applyBorder="1"/>
    <xf numFmtId="43" fontId="13" fillId="6" borderId="5" xfId="0" applyNumberFormat="1" applyFont="1" applyFill="1" applyBorder="1" applyAlignment="1">
      <alignment horizontal="right" vertical="center"/>
    </xf>
    <xf numFmtId="43" fontId="13" fillId="6" borderId="5" xfId="0" applyNumberFormat="1" applyFont="1" applyFill="1" applyBorder="1" applyAlignment="1">
      <alignment wrapText="1"/>
    </xf>
    <xf numFmtId="43" fontId="12" fillId="6" borderId="5" xfId="0" applyNumberFormat="1" applyFont="1" applyFill="1" applyBorder="1" applyAlignment="1" applyProtection="1">
      <alignment vertical="center"/>
      <protection locked="0"/>
    </xf>
    <xf numFmtId="43" fontId="12" fillId="6" borderId="5" xfId="0" applyNumberFormat="1" applyFont="1" applyFill="1" applyBorder="1"/>
    <xf numFmtId="43" fontId="12" fillId="6" borderId="5" xfId="0" applyNumberFormat="1" applyFont="1" applyFill="1" applyBorder="1" applyAlignment="1">
      <alignment horizontal="right" vertical="center"/>
    </xf>
    <xf numFmtId="43" fontId="12" fillId="6" borderId="5" xfId="0" applyNumberFormat="1" applyFont="1" applyFill="1" applyBorder="1" applyAlignment="1">
      <alignment wrapText="1"/>
    </xf>
    <xf numFmtId="43" fontId="12" fillId="6" borderId="5" xfId="0" applyNumberFormat="1" applyFont="1" applyFill="1" applyBorder="1" applyAlignment="1">
      <alignment horizontal="right"/>
    </xf>
    <xf numFmtId="43" fontId="11" fillId="6" borderId="15" xfId="0" applyNumberFormat="1" applyFont="1" applyFill="1" applyBorder="1"/>
    <xf numFmtId="43" fontId="11" fillId="6" borderId="5" xfId="0" applyNumberFormat="1" applyFont="1" applyFill="1" applyBorder="1"/>
    <xf numFmtId="43" fontId="11" fillId="6" borderId="5" xfId="0" applyNumberFormat="1" applyFont="1" applyFill="1" applyBorder="1" applyAlignment="1">
      <alignment horizontal="center"/>
    </xf>
    <xf numFmtId="43" fontId="6" fillId="6" borderId="5" xfId="0" applyNumberFormat="1" applyFont="1" applyFill="1" applyBorder="1" applyAlignment="1" applyProtection="1">
      <alignment vertical="center"/>
      <protection locked="0"/>
    </xf>
    <xf numFmtId="43" fontId="6" fillId="6" borderId="5" xfId="0" applyNumberFormat="1" applyFont="1" applyFill="1" applyBorder="1" applyAlignment="1">
      <alignment horizontal="right" vertical="center"/>
    </xf>
    <xf numFmtId="43" fontId="6" fillId="6" borderId="5" xfId="0" applyNumberFormat="1" applyFont="1" applyFill="1" applyBorder="1"/>
    <xf numFmtId="43" fontId="7" fillId="6" borderId="5" xfId="0" applyNumberFormat="1" applyFont="1" applyFill="1" applyBorder="1" applyAlignment="1">
      <alignment horizontal="right" vertical="center"/>
    </xf>
    <xf numFmtId="43" fontId="7" fillId="6" borderId="5" xfId="0" applyNumberFormat="1" applyFont="1" applyFill="1" applyBorder="1"/>
    <xf numFmtId="43" fontId="7" fillId="6" borderId="5" xfId="0" applyNumberFormat="1" applyFont="1" applyFill="1" applyBorder="1" applyAlignment="1" applyProtection="1">
      <alignment vertical="center"/>
      <protection locked="0"/>
    </xf>
    <xf numFmtId="43" fontId="0" fillId="6" borderId="5" xfId="0" applyNumberFormat="1" applyFill="1" applyBorder="1"/>
    <xf numFmtId="43" fontId="7" fillId="6" borderId="21" xfId="0" applyNumberFormat="1" applyFont="1" applyFill="1" applyBorder="1" applyAlignment="1">
      <alignment horizontal="right" vertical="center"/>
    </xf>
    <xf numFmtId="43" fontId="7" fillId="6" borderId="21" xfId="0" applyNumberFormat="1" applyFont="1" applyFill="1" applyBorder="1" applyAlignment="1">
      <alignment horizontal="right"/>
    </xf>
    <xf numFmtId="43" fontId="7" fillId="6" borderId="21" xfId="0" applyNumberFormat="1" applyFont="1" applyFill="1" applyBorder="1" applyAlignment="1" applyProtection="1">
      <alignment horizontal="right" vertical="center"/>
      <protection locked="0"/>
    </xf>
    <xf numFmtId="43" fontId="7" fillId="6" borderId="5" xfId="0" applyNumberFormat="1" applyFont="1" applyFill="1" applyBorder="1" applyAlignment="1">
      <alignment horizontal="right"/>
    </xf>
    <xf numFmtId="43" fontId="7" fillId="6" borderId="5" xfId="0" applyNumberFormat="1" applyFont="1" applyFill="1" applyBorder="1" applyAlignment="1" applyProtection="1">
      <alignment horizontal="right" vertical="center"/>
      <protection locked="0"/>
    </xf>
    <xf numFmtId="43" fontId="7" fillId="6" borderId="13" xfId="0" applyNumberFormat="1" applyFont="1" applyFill="1" applyBorder="1" applyAlignment="1">
      <alignment horizontal="right" vertical="center"/>
    </xf>
    <xf numFmtId="43" fontId="7" fillId="6" borderId="16" xfId="0" applyNumberFormat="1" applyFont="1" applyFill="1" applyBorder="1" applyAlignment="1">
      <alignment horizontal="right" vertical="center"/>
    </xf>
    <xf numFmtId="43" fontId="7" fillId="6" borderId="13" xfId="0" applyNumberFormat="1" applyFont="1" applyFill="1" applyBorder="1" applyAlignment="1">
      <alignment horizontal="right"/>
    </xf>
    <xf numFmtId="43" fontId="7" fillId="6" borderId="17" xfId="0" applyNumberFormat="1" applyFont="1" applyFill="1" applyBorder="1" applyAlignment="1">
      <alignment horizontal="right" vertical="center"/>
    </xf>
    <xf numFmtId="43" fontId="7" fillId="6" borderId="5" xfId="0" applyNumberFormat="1" applyFont="1" applyFill="1" applyBorder="1" applyAlignment="1">
      <alignment horizontal="right" wrapText="1"/>
    </xf>
    <xf numFmtId="43" fontId="7" fillId="6" borderId="14" xfId="0" applyNumberFormat="1" applyFont="1" applyFill="1" applyBorder="1" applyAlignment="1">
      <alignment horizontal="right" vertical="center"/>
    </xf>
    <xf numFmtId="43" fontId="7" fillId="6" borderId="7" xfId="0" applyNumberFormat="1" applyFont="1" applyFill="1" applyBorder="1" applyAlignment="1">
      <alignment horizontal="right"/>
    </xf>
    <xf numFmtId="43" fontId="7" fillId="6" borderId="8" xfId="0" applyNumberFormat="1" applyFont="1" applyFill="1" applyBorder="1" applyAlignment="1">
      <alignment horizontal="right"/>
    </xf>
    <xf numFmtId="43" fontId="7" fillId="6" borderId="19" xfId="0" applyNumberFormat="1" applyFont="1" applyFill="1" applyBorder="1" applyAlignment="1">
      <alignment horizontal="right" vertical="center"/>
    </xf>
    <xf numFmtId="43" fontId="7" fillId="6" borderId="9" xfId="0" applyNumberFormat="1" applyFont="1" applyFill="1" applyBorder="1" applyAlignment="1">
      <alignment horizontal="right" vertical="center"/>
    </xf>
    <xf numFmtId="43" fontId="7" fillId="6" borderId="10" xfId="0" applyNumberFormat="1" applyFont="1" applyFill="1" applyBorder="1" applyAlignment="1">
      <alignment horizontal="right" vertical="center"/>
    </xf>
    <xf numFmtId="43" fontId="7" fillId="6" borderId="19" xfId="0" applyNumberFormat="1" applyFont="1" applyFill="1" applyBorder="1" applyAlignment="1">
      <alignment horizontal="right"/>
    </xf>
    <xf numFmtId="43" fontId="7" fillId="6" borderId="11" xfId="0" applyNumberFormat="1" applyFont="1" applyFill="1" applyBorder="1" applyAlignment="1">
      <alignment horizontal="right"/>
    </xf>
    <xf numFmtId="43" fontId="7" fillId="6" borderId="12" xfId="0" applyNumberFormat="1" applyFont="1" applyFill="1" applyBorder="1" applyAlignment="1">
      <alignment horizontal="right"/>
    </xf>
    <xf numFmtId="43" fontId="7" fillId="6" borderId="15" xfId="0" applyNumberFormat="1" applyFont="1" applyFill="1" applyBorder="1" applyAlignment="1">
      <alignment horizontal="right" vertical="center"/>
    </xf>
    <xf numFmtId="43" fontId="7" fillId="6" borderId="18" xfId="0" applyNumberFormat="1" applyFont="1" applyFill="1" applyBorder="1" applyAlignment="1">
      <alignment horizontal="right" vertical="center"/>
    </xf>
    <xf numFmtId="43" fontId="7" fillId="6" borderId="20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Evolução do Total de Receitas (R$)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Book Antiqua"/>
              <a:ea typeface="Book Antiqua"/>
              <a:cs typeface="Book Antiqua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'Comparativo e Evolução'!$B$15</c:f>
              <c:strCache>
                <c:ptCount val="1"/>
                <c:pt idx="0">
                  <c:v>São Paulo –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'Comparativo e Evolução'!$A$16:$A$25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Evolução'!$B$16:$B$25</c:f>
              <c:numCache>
                <c:formatCode>_(* #,##0.00_);_(* \(#,##0.00\);_(* "-"??_);_(@_)</c:formatCode>
                <c:ptCount val="10"/>
                <c:pt idx="0">
                  <c:v>49608273636.520004</c:v>
                </c:pt>
                <c:pt idx="1">
                  <c:v>54010996759.629997</c:v>
                </c:pt>
                <c:pt idx="2">
                  <c:v>57383493575.370003</c:v>
                </c:pt>
                <c:pt idx="3">
                  <c:v>65802065976</c:v>
                </c:pt>
                <c:pt idx="4">
                  <c:v>69029896989</c:v>
                </c:pt>
                <c:pt idx="5">
                  <c:v>79516385335</c:v>
                </c:pt>
                <c:pt idx="6">
                  <c:v>95789912729</c:v>
                </c:pt>
                <c:pt idx="7">
                  <c:v>103907650084</c:v>
                </c:pt>
                <c:pt idx="8">
                  <c:v>121320658641</c:v>
                </c:pt>
                <c:pt idx="9">
                  <c:v>127308730790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7-4294-B117-A857DE6A85B9}"/>
            </c:ext>
          </c:extLst>
        </c:ser>
        <c:ser>
          <c:idx val="2"/>
          <c:order val="1"/>
          <c:tx>
            <c:strRef>
              <c:f>'Comparativo e Evolução'!$C$15</c:f>
              <c:strCache>
                <c:ptCount val="1"/>
                <c:pt idx="0">
                  <c:v>Campinas –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'Comparativo e Evolução'!$A$16:$A$25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'Comparativo e Evolução'!$C$16:$C$25</c:f>
              <c:numCache>
                <c:formatCode>_(* #,##0.00_);_(* \(#,##0.00\);_(* "-"??_);_(@_)</c:formatCode>
                <c:ptCount val="10"/>
                <c:pt idx="0">
                  <c:v>4492514681.6599998</c:v>
                </c:pt>
                <c:pt idx="1">
                  <c:v>4614990762</c:v>
                </c:pt>
                <c:pt idx="2">
                  <c:v>5037426435.3599997</c:v>
                </c:pt>
                <c:pt idx="3">
                  <c:v>6119036575</c:v>
                </c:pt>
                <c:pt idx="4">
                  <c:v>6456830874</c:v>
                </c:pt>
                <c:pt idx="5">
                  <c:v>7341521312</c:v>
                </c:pt>
                <c:pt idx="6">
                  <c:v>8143599535</c:v>
                </c:pt>
                <c:pt idx="7">
                  <c:v>8751568077</c:v>
                </c:pt>
                <c:pt idx="8">
                  <c:v>10221807837</c:v>
                </c:pt>
                <c:pt idx="9">
                  <c:v>11497786866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F7-4294-B117-A857DE6A8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1943"/>
        <c:axId val="10421767"/>
      </c:barChart>
      <c:catAx>
        <c:axId val="231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767"/>
        <c:crosses val="autoZero"/>
        <c:auto val="1"/>
        <c:lblAlgn val="ctr"/>
        <c:lblOffset val="100"/>
        <c:noMultiLvlLbl val="0"/>
      </c:catAx>
      <c:valAx>
        <c:axId val="10421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13</xdr:row>
      <xdr:rowOff>95250</xdr:rowOff>
    </xdr:from>
    <xdr:to>
      <xdr:col>7</xdr:col>
      <xdr:colOff>1114425</xdr:colOff>
      <xdr:row>30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DAD63F-6B8F-FB1E-4287-0976238DC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topLeftCell="D1" workbookViewId="0">
      <selection activeCell="D26" sqref="D26"/>
    </sheetView>
  </sheetViews>
  <sheetFormatPr defaultRowHeight="15"/>
  <cols>
    <col min="1" max="1" width="30.140625" customWidth="1"/>
    <col min="2" max="2" width="22" customWidth="1"/>
    <col min="3" max="3" width="21.85546875" customWidth="1"/>
    <col min="4" max="4" width="20.85546875" customWidth="1"/>
    <col min="5" max="5" width="21.85546875" customWidth="1"/>
    <col min="6" max="6" width="21.28515625" customWidth="1"/>
    <col min="7" max="7" width="20.140625" customWidth="1"/>
    <col min="8" max="8" width="23.140625" customWidth="1"/>
    <col min="9" max="9" width="27.85546875" customWidth="1"/>
    <col min="10" max="10" width="26.7109375" customWidth="1"/>
    <col min="11" max="11" width="23" customWidth="1"/>
  </cols>
  <sheetData>
    <row r="1" spans="1:11" ht="18.75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>
      <c r="A2" s="10" t="s">
        <v>1</v>
      </c>
      <c r="B2" s="11">
        <v>2016</v>
      </c>
      <c r="C2" s="11">
        <v>2017</v>
      </c>
      <c r="D2" s="11">
        <v>2018</v>
      </c>
      <c r="E2" s="11">
        <v>2019</v>
      </c>
      <c r="F2" s="11">
        <v>2020</v>
      </c>
      <c r="G2" s="11">
        <v>2021</v>
      </c>
      <c r="H2" s="11">
        <v>2022</v>
      </c>
      <c r="I2" s="11">
        <v>2023</v>
      </c>
      <c r="J2" s="11">
        <v>2024</v>
      </c>
      <c r="K2" s="11">
        <v>2025</v>
      </c>
    </row>
    <row r="3" spans="1:11">
      <c r="A3" s="16" t="s">
        <v>2</v>
      </c>
      <c r="B3" s="18">
        <f>B4+B11+B12</f>
        <v>49608273636.520004</v>
      </c>
      <c r="C3" s="19">
        <v>54010996759.629997</v>
      </c>
      <c r="D3" s="20">
        <v>57383493575.370003</v>
      </c>
      <c r="E3" s="21">
        <v>65802065976</v>
      </c>
      <c r="F3" s="18">
        <v>69029896989</v>
      </c>
      <c r="G3" s="18">
        <v>79516385335</v>
      </c>
      <c r="H3" s="18">
        <v>95789912729</v>
      </c>
      <c r="I3" s="18">
        <v>103907650084</v>
      </c>
      <c r="J3" s="21">
        <v>121320658641</v>
      </c>
      <c r="K3" s="21">
        <v>127308730790</v>
      </c>
    </row>
    <row r="4" spans="1:11">
      <c r="A4" s="13" t="s">
        <v>3</v>
      </c>
      <c r="B4" s="22">
        <v>46302379349.660004</v>
      </c>
      <c r="C4" s="22">
        <v>50970741521.989998</v>
      </c>
      <c r="D4" s="23">
        <v>52983577439.669998</v>
      </c>
      <c r="E4" s="24">
        <v>58682634320</v>
      </c>
      <c r="F4" s="25">
        <v>63343017265</v>
      </c>
      <c r="G4" s="23">
        <v>73208022092</v>
      </c>
      <c r="H4" s="23">
        <v>84950618664</v>
      </c>
      <c r="I4" s="23">
        <v>89678434971</v>
      </c>
      <c r="J4" s="24">
        <v>101553334045</v>
      </c>
      <c r="K4" s="24">
        <v>108153374942</v>
      </c>
    </row>
    <row r="5" spans="1:11">
      <c r="A5" s="14" t="s">
        <v>4</v>
      </c>
      <c r="B5" s="26">
        <v>23503877091.34</v>
      </c>
      <c r="C5" s="26">
        <v>25715190301.720001</v>
      </c>
      <c r="D5" s="27">
        <v>30083861181.610001</v>
      </c>
      <c r="E5" s="28">
        <v>34014769940</v>
      </c>
      <c r="F5" s="27">
        <v>35519456726</v>
      </c>
      <c r="G5" s="27">
        <v>44020417927</v>
      </c>
      <c r="H5" s="27">
        <v>48012216723</v>
      </c>
      <c r="I5" s="27">
        <v>52281689827</v>
      </c>
      <c r="J5" s="28">
        <v>62707212200</v>
      </c>
      <c r="K5" s="28">
        <v>68282433804</v>
      </c>
    </row>
    <row r="6" spans="1:11">
      <c r="A6" s="14" t="s">
        <v>5</v>
      </c>
      <c r="B6" s="26">
        <v>1813700471.8</v>
      </c>
      <c r="C6" s="26">
        <v>1816783257.25</v>
      </c>
      <c r="D6" s="27">
        <v>1948361355.3</v>
      </c>
      <c r="E6" s="28">
        <v>2455248087</v>
      </c>
      <c r="F6" s="27">
        <v>2553784845</v>
      </c>
      <c r="G6" s="27">
        <v>2560451583</v>
      </c>
      <c r="H6" s="27">
        <v>3522904331</v>
      </c>
      <c r="I6" s="27">
        <v>3987896913</v>
      </c>
      <c r="J6" s="28">
        <v>4119165299</v>
      </c>
      <c r="K6" s="28">
        <v>4232870909</v>
      </c>
    </row>
    <row r="7" spans="1:11">
      <c r="A7" s="14" t="s">
        <v>6</v>
      </c>
      <c r="B7" s="26">
        <v>1468760682.1500001</v>
      </c>
      <c r="C7" s="26">
        <v>988649452.02999997</v>
      </c>
      <c r="D7" s="27">
        <v>897713324.60000002</v>
      </c>
      <c r="E7" s="28">
        <v>1306008863</v>
      </c>
      <c r="F7" s="29">
        <v>2493379169</v>
      </c>
      <c r="G7" s="27">
        <v>1715513980</v>
      </c>
      <c r="H7" s="27">
        <v>5211436408</v>
      </c>
      <c r="I7" s="27">
        <v>5447787325</v>
      </c>
      <c r="J7" s="28">
        <v>4232423992</v>
      </c>
      <c r="K7" s="28">
        <v>4640566403</v>
      </c>
    </row>
    <row r="8" spans="1:11">
      <c r="A8" s="14" t="s">
        <v>7</v>
      </c>
      <c r="B8" s="26">
        <v>520580294.63</v>
      </c>
      <c r="C8" s="26">
        <v>530429746.25999999</v>
      </c>
      <c r="D8" s="27">
        <v>224721589.55000001</v>
      </c>
      <c r="E8" s="28">
        <v>235913634</v>
      </c>
      <c r="F8" s="27">
        <v>201657796</v>
      </c>
      <c r="G8" s="27">
        <v>227382002</v>
      </c>
      <c r="H8" s="27">
        <v>255683588</v>
      </c>
      <c r="I8" s="27">
        <v>176944595</v>
      </c>
      <c r="J8" s="28">
        <v>153833625</v>
      </c>
      <c r="K8" s="28">
        <v>177281048</v>
      </c>
    </row>
    <row r="9" spans="1:11">
      <c r="A9" s="14" t="s">
        <v>8</v>
      </c>
      <c r="B9" s="26">
        <v>15466564737.219999</v>
      </c>
      <c r="C9" s="26">
        <v>16065442056.4</v>
      </c>
      <c r="D9" s="27">
        <v>17191856011.689999</v>
      </c>
      <c r="E9" s="28">
        <v>18498539693</v>
      </c>
      <c r="F9" s="27">
        <v>20953788271</v>
      </c>
      <c r="G9" s="27">
        <v>22902292291</v>
      </c>
      <c r="H9" s="27">
        <v>25027192894</v>
      </c>
      <c r="I9" s="27">
        <v>25187610430</v>
      </c>
      <c r="J9" s="28">
        <v>27419626661</v>
      </c>
      <c r="K9" s="28">
        <v>28611989373</v>
      </c>
    </row>
    <row r="10" spans="1:11">
      <c r="A10" s="14" t="s">
        <v>9</v>
      </c>
      <c r="B10" s="26">
        <v>3528896072.52</v>
      </c>
      <c r="C10" s="26">
        <v>5854246708.3299999</v>
      </c>
      <c r="D10" s="27">
        <v>2637063976.9200001</v>
      </c>
      <c r="E10" s="28">
        <v>2172154102</v>
      </c>
      <c r="F10" s="27">
        <v>1620950458</v>
      </c>
      <c r="G10" s="27">
        <v>1781964310</v>
      </c>
      <c r="H10" s="27">
        <v>2921184721</v>
      </c>
      <c r="I10" s="27">
        <v>2596505880</v>
      </c>
      <c r="J10" s="28">
        <v>2921072267</v>
      </c>
      <c r="K10" s="28">
        <v>2208233405</v>
      </c>
    </row>
    <row r="11" spans="1:11">
      <c r="A11" s="14" t="s">
        <v>10</v>
      </c>
      <c r="B11" s="27">
        <v>1948391213.51</v>
      </c>
      <c r="C11" s="26">
        <v>1954390516.3299999</v>
      </c>
      <c r="D11" s="30" t="s">
        <v>11</v>
      </c>
      <c r="E11" s="28">
        <v>2565892527</v>
      </c>
      <c r="F11" s="27">
        <v>2938648105</v>
      </c>
      <c r="G11" s="27">
        <v>2821862570</v>
      </c>
      <c r="H11" s="27">
        <v>6812039105</v>
      </c>
      <c r="I11" s="27">
        <v>10675664760</v>
      </c>
      <c r="J11" s="28">
        <v>11608766933</v>
      </c>
      <c r="K11" s="28">
        <v>11116265863</v>
      </c>
    </row>
    <row r="12" spans="1:11">
      <c r="A12" s="13" t="s">
        <v>12</v>
      </c>
      <c r="B12" s="22">
        <v>1357503073.3499999</v>
      </c>
      <c r="C12" s="22">
        <v>1085864721.3099999</v>
      </c>
      <c r="D12" s="23">
        <v>2333097439.04</v>
      </c>
      <c r="E12" s="24">
        <v>4553539130</v>
      </c>
      <c r="F12" s="25">
        <v>2748231619</v>
      </c>
      <c r="G12" s="23">
        <v>3486500672</v>
      </c>
      <c r="H12" s="23">
        <v>4027254959</v>
      </c>
      <c r="I12" s="23">
        <v>3553550353</v>
      </c>
      <c r="J12" s="24">
        <v>8158557663</v>
      </c>
      <c r="K12" s="24">
        <v>8039089984</v>
      </c>
    </row>
    <row r="13" spans="1:11">
      <c r="A13" s="14" t="s">
        <v>13</v>
      </c>
      <c r="B13" s="27">
        <v>69310730.359999999</v>
      </c>
      <c r="C13" s="26">
        <v>44420661.719999999</v>
      </c>
      <c r="D13" s="27">
        <v>148836391.74000001</v>
      </c>
      <c r="E13" s="28">
        <v>291119103</v>
      </c>
      <c r="F13" s="27">
        <v>510196840</v>
      </c>
      <c r="G13" s="27">
        <v>122178049</v>
      </c>
      <c r="H13" s="27">
        <v>103342000</v>
      </c>
      <c r="I13" s="27">
        <v>368156174</v>
      </c>
      <c r="J13" s="28">
        <v>2422251781</v>
      </c>
      <c r="K13" s="28">
        <v>2835694236</v>
      </c>
    </row>
    <row r="14" spans="1:11">
      <c r="A14" s="14" t="s">
        <v>14</v>
      </c>
      <c r="B14" s="26">
        <v>806997117.23000002</v>
      </c>
      <c r="C14" s="26">
        <v>642087073.96000004</v>
      </c>
      <c r="D14" s="27">
        <v>712036621.48000002</v>
      </c>
      <c r="E14" s="28">
        <v>585337097</v>
      </c>
      <c r="F14" s="27">
        <v>749721695</v>
      </c>
      <c r="G14" s="27">
        <v>657132980</v>
      </c>
      <c r="H14" s="27">
        <v>746494401</v>
      </c>
      <c r="I14" s="27">
        <v>684369103</v>
      </c>
      <c r="J14" s="28">
        <v>3118560272</v>
      </c>
      <c r="K14" s="28">
        <v>481693925</v>
      </c>
    </row>
    <row r="15" spans="1:11">
      <c r="A15" s="14" t="s">
        <v>15</v>
      </c>
      <c r="B15" s="27">
        <v>20852757.620000001</v>
      </c>
      <c r="C15" s="26">
        <v>22320251.23</v>
      </c>
      <c r="D15" s="27">
        <v>23416568.350000001</v>
      </c>
      <c r="E15" s="28">
        <v>22998566</v>
      </c>
      <c r="F15" s="27">
        <v>20501528</v>
      </c>
      <c r="G15" s="27">
        <v>21443316</v>
      </c>
      <c r="H15" s="27">
        <v>238234171</v>
      </c>
      <c r="I15" s="27">
        <v>24801621</v>
      </c>
      <c r="J15" s="28">
        <v>23139930</v>
      </c>
      <c r="K15" s="28">
        <v>27210208</v>
      </c>
    </row>
    <row r="17" spans="1:11" ht="18.75">
      <c r="A17" s="64" t="s">
        <v>16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1:11">
      <c r="A18" s="10" t="s">
        <v>1</v>
      </c>
      <c r="B18" s="11">
        <v>2016</v>
      </c>
      <c r="C18" s="11">
        <v>2017</v>
      </c>
      <c r="D18" s="11">
        <v>2018</v>
      </c>
      <c r="E18" s="11">
        <v>2019</v>
      </c>
      <c r="F18" s="11">
        <v>2020</v>
      </c>
      <c r="G18" s="11">
        <v>2021</v>
      </c>
      <c r="H18" s="11">
        <v>2022</v>
      </c>
      <c r="I18" s="11">
        <v>2023</v>
      </c>
      <c r="J18" s="11">
        <v>2024</v>
      </c>
      <c r="K18" s="11">
        <v>2025</v>
      </c>
    </row>
    <row r="19" spans="1:11">
      <c r="A19" s="15" t="s">
        <v>4</v>
      </c>
      <c r="B19" s="31">
        <f>B5/$B$3</f>
        <v>0.47378945825756791</v>
      </c>
      <c r="C19" s="31">
        <f>C5/$C$3</f>
        <v>0.47611027095394348</v>
      </c>
      <c r="D19" s="31">
        <f>D5/$D$3</f>
        <v>0.52425984036849438</v>
      </c>
      <c r="E19" s="31">
        <f>E5/$E$3</f>
        <v>0.51692556206983253</v>
      </c>
      <c r="F19" s="31">
        <f>F5/$F$3</f>
        <v>0.51455178517302536</v>
      </c>
      <c r="G19" s="31">
        <f>G5/$G$3</f>
        <v>0.55360184874530427</v>
      </c>
      <c r="H19" s="31">
        <f>H5/$H$3</f>
        <v>0.50122414098895507</v>
      </c>
      <c r="I19" s="31">
        <f>I5/$I$3</f>
        <v>0.50315534789531813</v>
      </c>
      <c r="J19" s="31">
        <f>J5/$J$3</f>
        <v>0.51687167628686337</v>
      </c>
      <c r="K19" s="31">
        <f>K5/$K$3</f>
        <v>0.53635311090041538</v>
      </c>
    </row>
    <row r="20" spans="1:11">
      <c r="A20" s="12" t="s">
        <v>5</v>
      </c>
      <c r="B20" s="32">
        <f>B6/$B$3</f>
        <v>3.6560443225438354E-2</v>
      </c>
      <c r="C20" s="32">
        <f>C6/$C$3</f>
        <v>3.3637284372576834E-2</v>
      </c>
      <c r="D20" s="32">
        <f>D6/$D$3</f>
        <v>3.3953341525659056E-2</v>
      </c>
      <c r="E20" s="32">
        <f t="shared" ref="E20:E25" si="0">E6/$E$3</f>
        <v>3.7312629179386297E-2</v>
      </c>
      <c r="F20" s="32">
        <f t="shared" ref="F20:F25" si="1">F6/$F$3</f>
        <v>3.6995344863500937E-2</v>
      </c>
      <c r="G20" s="32">
        <f t="shared" ref="G20:G25" si="2">G6/$G$3</f>
        <v>3.220030151286303E-2</v>
      </c>
      <c r="H20" s="32">
        <f t="shared" ref="H20:H25" si="3">H6/$H$3</f>
        <v>3.6777404119436634E-2</v>
      </c>
      <c r="I20" s="32">
        <f t="shared" ref="I20:I25" si="4">I6/$I$3</f>
        <v>3.8379242623388592E-2</v>
      </c>
      <c r="J20" s="32">
        <f t="shared" ref="J20:J25" si="5">J6/$J$3</f>
        <v>3.3952711311838683E-2</v>
      </c>
      <c r="K20" s="32">
        <f t="shared" ref="K20:K25" si="6">K6/$K$3</f>
        <v>3.3248865829809127E-2</v>
      </c>
    </row>
    <row r="21" spans="1:11">
      <c r="A21" s="12" t="s">
        <v>6</v>
      </c>
      <c r="B21" s="32">
        <f>B7/$B$3</f>
        <v>2.9607171838141655E-2</v>
      </c>
      <c r="C21" s="32">
        <f>C7/$C$3</f>
        <v>1.830459557022944E-2</v>
      </c>
      <c r="D21" s="32">
        <f t="shared" ref="D21:D25" si="7">D7/$D$3</f>
        <v>1.5644103707643801E-2</v>
      </c>
      <c r="E21" s="32">
        <f t="shared" si="0"/>
        <v>1.9847535842967921E-2</v>
      </c>
      <c r="F21" s="32">
        <f t="shared" si="1"/>
        <v>3.6120279440621551E-2</v>
      </c>
      <c r="G21" s="32">
        <f t="shared" si="2"/>
        <v>2.1574345624145189E-2</v>
      </c>
      <c r="H21" s="32">
        <f t="shared" si="3"/>
        <v>5.4404855997141538E-2</v>
      </c>
      <c r="I21" s="32">
        <f t="shared" si="4"/>
        <v>5.2429126446377657E-2</v>
      </c>
      <c r="J21" s="32">
        <f t="shared" si="5"/>
        <v>3.4886259598409922E-2</v>
      </c>
      <c r="K21" s="32">
        <f t="shared" si="6"/>
        <v>3.645128165368932E-2</v>
      </c>
    </row>
    <row r="22" spans="1:11">
      <c r="A22" s="12" t="s">
        <v>7</v>
      </c>
      <c r="B22" s="32">
        <f>B8/$B$3</f>
        <v>1.0493820011643494E-2</v>
      </c>
      <c r="C22" s="32">
        <f>C8/$C$3</f>
        <v>9.8207731403406467E-3</v>
      </c>
      <c r="D22" s="32">
        <f t="shared" si="7"/>
        <v>3.9161364278882879E-3</v>
      </c>
      <c r="E22" s="32">
        <f t="shared" si="0"/>
        <v>3.5852010191601709E-3</v>
      </c>
      <c r="F22" s="32">
        <f t="shared" si="1"/>
        <v>2.9213109796778986E-3</v>
      </c>
      <c r="G22" s="32">
        <f t="shared" si="2"/>
        <v>2.8595615990597016E-3</v>
      </c>
      <c r="H22" s="32">
        <f t="shared" si="3"/>
        <v>2.6692120361708279E-3</v>
      </c>
      <c r="I22" s="32">
        <f t="shared" si="4"/>
        <v>1.7029024798169933E-3</v>
      </c>
      <c r="J22" s="32">
        <f t="shared" si="5"/>
        <v>1.2679920033669544E-3</v>
      </c>
      <c r="K22" s="32">
        <f t="shared" si="6"/>
        <v>1.3925285948567896E-3</v>
      </c>
    </row>
    <row r="23" spans="1:11">
      <c r="A23" s="12" t="s">
        <v>8</v>
      </c>
      <c r="B23" s="32">
        <f>B9/$B$3</f>
        <v>0.31177389583325504</v>
      </c>
      <c r="C23" s="32">
        <f>C9/$C$3</f>
        <v>0.29744761289811933</v>
      </c>
      <c r="D23" s="32">
        <f t="shared" si="7"/>
        <v>0.29959584090343783</v>
      </c>
      <c r="E23" s="32">
        <f t="shared" si="0"/>
        <v>0.28112399540383698</v>
      </c>
      <c r="F23" s="32">
        <f t="shared" si="1"/>
        <v>0.30354656728430307</v>
      </c>
      <c r="G23" s="32">
        <f t="shared" si="2"/>
        <v>0.28801978604174938</v>
      </c>
      <c r="H23" s="32">
        <f t="shared" si="3"/>
        <v>0.26127169532771816</v>
      </c>
      <c r="I23" s="32">
        <f t="shared" si="4"/>
        <v>0.24240381155418375</v>
      </c>
      <c r="J23" s="32">
        <f t="shared" si="5"/>
        <v>0.22600954337164808</v>
      </c>
      <c r="K23" s="32">
        <f t="shared" si="6"/>
        <v>0.22474491101632638</v>
      </c>
    </row>
    <row r="24" spans="1:11">
      <c r="A24" s="12" t="s">
        <v>9</v>
      </c>
      <c r="B24" s="32">
        <f>B10/$B$3</f>
        <v>7.1135232368218129E-2</v>
      </c>
      <c r="C24" s="32">
        <f>C10/$C$3</f>
        <v>0.10838990315960435</v>
      </c>
      <c r="D24" s="32">
        <f t="shared" si="7"/>
        <v>4.5955096363318564E-2</v>
      </c>
      <c r="E24" s="32">
        <f t="shared" si="0"/>
        <v>3.3010424061643444E-2</v>
      </c>
      <c r="F24" s="32">
        <f t="shared" si="1"/>
        <v>2.3481861174706669E-2</v>
      </c>
      <c r="G24" s="32">
        <f t="shared" si="2"/>
        <v>2.2410026593797507E-2</v>
      </c>
      <c r="H24" s="32">
        <f t="shared" si="3"/>
        <v>3.0495744674748235E-2</v>
      </c>
      <c r="I24" s="32">
        <f t="shared" si="4"/>
        <v>2.4988592061325209E-2</v>
      </c>
      <c r="J24" s="32">
        <f t="shared" si="5"/>
        <v>2.4077286586810791E-2</v>
      </c>
      <c r="K24" s="32">
        <f t="shared" si="6"/>
        <v>1.7345498547484184E-2</v>
      </c>
    </row>
    <row r="25" spans="1:11">
      <c r="A25" s="12" t="s">
        <v>10</v>
      </c>
      <c r="B25" s="32">
        <f>B11/$B$3</f>
        <v>3.9275529476914865E-2</v>
      </c>
      <c r="C25" s="32">
        <f>C11/$C$3</f>
        <v>3.6185048112105767E-2</v>
      </c>
      <c r="D25" s="33" t="s">
        <v>17</v>
      </c>
      <c r="E25" s="32">
        <f t="shared" si="0"/>
        <v>3.8994102828562534E-2</v>
      </c>
      <c r="F25" s="32">
        <f t="shared" si="1"/>
        <v>4.2570657543763643E-2</v>
      </c>
      <c r="G25" s="32">
        <f t="shared" si="2"/>
        <v>3.5487812456660134E-2</v>
      </c>
      <c r="H25" s="32">
        <f t="shared" si="3"/>
        <v>7.1114368005240736E-2</v>
      </c>
      <c r="I25" s="32">
        <f t="shared" si="4"/>
        <v>0.10274185540111516</v>
      </c>
      <c r="J25" s="32">
        <f t="shared" si="5"/>
        <v>9.5686646141210835E-2</v>
      </c>
      <c r="K25" s="32">
        <f t="shared" si="6"/>
        <v>8.7317388163555346E-2</v>
      </c>
    </row>
  </sheetData>
  <mergeCells count="2">
    <mergeCell ref="A1:K1"/>
    <mergeCell ref="A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6802-AC6C-411F-B7D5-3B9259B4A35E}">
  <dimension ref="A1:L25"/>
  <sheetViews>
    <sheetView showGridLines="0" workbookViewId="0">
      <selection activeCell="C3" sqref="C3"/>
    </sheetView>
  </sheetViews>
  <sheetFormatPr defaultRowHeight="15"/>
  <cols>
    <col min="1" max="1" width="28.140625" customWidth="1"/>
    <col min="2" max="2" width="18.7109375" customWidth="1"/>
    <col min="3" max="3" width="21.5703125" customWidth="1"/>
    <col min="4" max="4" width="23.28515625" customWidth="1"/>
    <col min="5" max="5" width="19.28515625" customWidth="1"/>
    <col min="6" max="6" width="21.28515625" customWidth="1"/>
    <col min="7" max="7" width="19.7109375" customWidth="1"/>
    <col min="8" max="8" width="21.28515625" customWidth="1"/>
    <col min="9" max="9" width="20.85546875" customWidth="1"/>
    <col min="10" max="10" width="21.140625" customWidth="1"/>
    <col min="11" max="11" width="24.28515625" customWidth="1"/>
    <col min="12" max="12" width="14.85546875" customWidth="1"/>
  </cols>
  <sheetData>
    <row r="1" spans="1:12" ht="18.75">
      <c r="A1" s="63" t="s">
        <v>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2">
      <c r="A2" s="10" t="s">
        <v>1</v>
      </c>
      <c r="B2" s="11">
        <v>2016</v>
      </c>
      <c r="C2" s="11">
        <v>2017</v>
      </c>
      <c r="D2" s="11">
        <v>2018</v>
      </c>
      <c r="E2" s="11">
        <v>2019</v>
      </c>
      <c r="F2" s="11">
        <v>2020</v>
      </c>
      <c r="G2" s="11">
        <v>2021</v>
      </c>
      <c r="H2" s="11">
        <v>2022</v>
      </c>
      <c r="I2" s="11">
        <v>2023</v>
      </c>
      <c r="J2" s="11">
        <v>2024</v>
      </c>
      <c r="K2" s="11">
        <v>2025</v>
      </c>
    </row>
    <row r="3" spans="1:12">
      <c r="A3" s="9" t="s">
        <v>2</v>
      </c>
      <c r="B3" s="34">
        <v>4492514681.6599998</v>
      </c>
      <c r="C3" s="35">
        <f>C4+C11+C12</f>
        <v>4614990762</v>
      </c>
      <c r="D3" s="35">
        <f>D4+D11+D12</f>
        <v>5037426435.3599997</v>
      </c>
      <c r="E3" s="35">
        <v>6119036575</v>
      </c>
      <c r="F3" s="36">
        <v>6456830874</v>
      </c>
      <c r="G3" s="35">
        <v>7341521312</v>
      </c>
      <c r="H3" s="35">
        <v>8143599535</v>
      </c>
      <c r="I3" s="35">
        <v>8751568077</v>
      </c>
      <c r="J3" s="36">
        <v>10221807837</v>
      </c>
      <c r="K3" s="35">
        <v>11497786866</v>
      </c>
      <c r="L3" s="1"/>
    </row>
    <row r="4" spans="1:12">
      <c r="A4" s="13" t="s">
        <v>3</v>
      </c>
      <c r="B4" s="35">
        <v>4251015179</v>
      </c>
      <c r="C4" s="35">
        <v>4244959495</v>
      </c>
      <c r="D4" s="35">
        <v>4823973654</v>
      </c>
      <c r="E4" s="35">
        <v>5677439197</v>
      </c>
      <c r="F4" s="36">
        <v>6057128002</v>
      </c>
      <c r="G4" s="35">
        <v>6551251563</v>
      </c>
      <c r="H4" s="35">
        <v>7438267085</v>
      </c>
      <c r="I4" s="35">
        <v>7880085670</v>
      </c>
      <c r="J4" s="36">
        <v>8781027016</v>
      </c>
      <c r="K4" s="35">
        <v>10137803187</v>
      </c>
    </row>
    <row r="5" spans="1:12">
      <c r="A5" s="14" t="s">
        <v>4</v>
      </c>
      <c r="B5" s="37">
        <v>1635821998</v>
      </c>
      <c r="C5" s="37">
        <v>1745696122</v>
      </c>
      <c r="D5" s="37">
        <v>2260474466</v>
      </c>
      <c r="E5" s="37">
        <v>2842150045</v>
      </c>
      <c r="F5" s="38">
        <v>2759124319</v>
      </c>
      <c r="G5" s="37">
        <v>3279759593</v>
      </c>
      <c r="H5" s="37">
        <v>3726495318</v>
      </c>
      <c r="I5" s="37">
        <v>3974014620</v>
      </c>
      <c r="J5" s="38">
        <v>4433271350</v>
      </c>
      <c r="K5" s="37">
        <v>5084528190</v>
      </c>
    </row>
    <row r="6" spans="1:12">
      <c r="A6" s="14" t="s">
        <v>5</v>
      </c>
      <c r="B6" s="37">
        <v>175078959</v>
      </c>
      <c r="C6" s="37">
        <v>194796521</v>
      </c>
      <c r="D6" s="37">
        <v>187559174</v>
      </c>
      <c r="E6" s="37">
        <v>204887042</v>
      </c>
      <c r="F6" s="38">
        <v>222433724</v>
      </c>
      <c r="G6" s="37">
        <v>247157554</v>
      </c>
      <c r="H6" s="37">
        <v>305383685</v>
      </c>
      <c r="I6" s="37">
        <v>326561376</v>
      </c>
      <c r="J6" s="38">
        <v>361758561</v>
      </c>
      <c r="K6" s="37">
        <v>397091586</v>
      </c>
    </row>
    <row r="7" spans="1:12">
      <c r="A7" s="14" t="s">
        <v>6</v>
      </c>
      <c r="B7" s="37">
        <v>145959011</v>
      </c>
      <c r="C7" s="37">
        <v>72282543</v>
      </c>
      <c r="D7" s="37">
        <v>116405382</v>
      </c>
      <c r="E7" s="37">
        <v>213454981</v>
      </c>
      <c r="F7" s="38">
        <v>416425502</v>
      </c>
      <c r="G7" s="37">
        <v>152279723</v>
      </c>
      <c r="H7" s="37">
        <v>320047126</v>
      </c>
      <c r="I7" s="37">
        <v>479630600</v>
      </c>
      <c r="J7" s="38">
        <v>539141660</v>
      </c>
      <c r="K7" s="37">
        <v>679212722</v>
      </c>
    </row>
    <row r="8" spans="1:12">
      <c r="A8" s="14" t="s">
        <v>7</v>
      </c>
      <c r="B8" s="37">
        <v>20571500</v>
      </c>
      <c r="C8" s="37">
        <v>21806701</v>
      </c>
      <c r="D8" s="37">
        <v>27621000</v>
      </c>
      <c r="E8" s="37">
        <v>31191675</v>
      </c>
      <c r="F8" s="38">
        <v>30662542</v>
      </c>
      <c r="G8" s="37">
        <v>35608294</v>
      </c>
      <c r="H8" s="37">
        <v>32057180</v>
      </c>
      <c r="I8" s="37">
        <v>35744583</v>
      </c>
      <c r="J8" s="38">
        <v>44010505</v>
      </c>
      <c r="K8" s="37">
        <v>47127193</v>
      </c>
    </row>
    <row r="9" spans="1:12">
      <c r="A9" s="14" t="s">
        <v>8</v>
      </c>
      <c r="B9" s="37">
        <v>1915147915</v>
      </c>
      <c r="C9" s="37">
        <v>1970040547</v>
      </c>
      <c r="D9" s="37">
        <v>2082163799</v>
      </c>
      <c r="E9" s="37">
        <v>2220131838</v>
      </c>
      <c r="F9" s="38">
        <v>2436812799</v>
      </c>
      <c r="G9" s="37">
        <v>2655258487</v>
      </c>
      <c r="H9" s="37">
        <v>2887636722</v>
      </c>
      <c r="I9" s="37">
        <v>2885533930</v>
      </c>
      <c r="J9" s="38">
        <v>3117027535</v>
      </c>
      <c r="K9" s="37">
        <v>3292253552</v>
      </c>
    </row>
    <row r="10" spans="1:12">
      <c r="A10" s="14" t="s">
        <v>9</v>
      </c>
      <c r="B10" s="37">
        <v>358435796</v>
      </c>
      <c r="C10" s="37">
        <v>240337060</v>
      </c>
      <c r="D10" s="37">
        <v>149749833</v>
      </c>
      <c r="E10" s="37">
        <v>165623616</v>
      </c>
      <c r="F10" s="38">
        <v>191669117</v>
      </c>
      <c r="G10" s="37">
        <v>181187912</v>
      </c>
      <c r="H10" s="37">
        <v>166647053</v>
      </c>
      <c r="I10" s="37">
        <v>178600562</v>
      </c>
      <c r="J10" s="38">
        <v>285817405</v>
      </c>
      <c r="K10" s="37">
        <v>637589944</v>
      </c>
    </row>
    <row r="11" spans="1:12">
      <c r="A11" s="14" t="s">
        <v>10</v>
      </c>
      <c r="B11" s="39">
        <v>164875849.41</v>
      </c>
      <c r="C11" s="37">
        <v>200284209</v>
      </c>
      <c r="D11" s="37">
        <v>91557367.359999999</v>
      </c>
      <c r="E11" s="37">
        <v>266086416</v>
      </c>
      <c r="F11" s="38">
        <v>233086258</v>
      </c>
      <c r="G11" s="37">
        <v>749167041</v>
      </c>
      <c r="H11" s="37">
        <v>599326750</v>
      </c>
      <c r="I11" s="37">
        <v>709940235</v>
      </c>
      <c r="J11" s="38">
        <v>1044169683</v>
      </c>
      <c r="K11" s="37">
        <v>1097281831</v>
      </c>
    </row>
    <row r="12" spans="1:12">
      <c r="A12" s="13" t="s">
        <v>12</v>
      </c>
      <c r="B12" s="35">
        <v>76623653</v>
      </c>
      <c r="C12" s="35">
        <v>169747058</v>
      </c>
      <c r="D12" s="35">
        <v>121895414</v>
      </c>
      <c r="E12" s="35">
        <v>175510961</v>
      </c>
      <c r="F12" s="36">
        <v>166616613</v>
      </c>
      <c r="G12" s="35">
        <v>41102708</v>
      </c>
      <c r="H12" s="35">
        <v>106005701</v>
      </c>
      <c r="I12" s="35">
        <v>161542172</v>
      </c>
      <c r="J12" s="36">
        <v>396611138</v>
      </c>
      <c r="K12" s="35">
        <v>262701848</v>
      </c>
    </row>
    <row r="13" spans="1:12">
      <c r="A13" s="14" t="s">
        <v>13</v>
      </c>
      <c r="B13" s="37">
        <v>45819657</v>
      </c>
      <c r="C13" s="37">
        <v>90074528</v>
      </c>
      <c r="D13" s="37">
        <v>104118341</v>
      </c>
      <c r="E13" s="37">
        <v>106988097</v>
      </c>
      <c r="F13" s="38">
        <v>108596776</v>
      </c>
      <c r="G13" s="37">
        <v>26008657</v>
      </c>
      <c r="H13" s="37">
        <v>80068710</v>
      </c>
      <c r="I13" s="37">
        <v>119553977</v>
      </c>
      <c r="J13" s="38">
        <v>193884386</v>
      </c>
      <c r="K13" s="37">
        <v>166476609</v>
      </c>
    </row>
    <row r="14" spans="1:12">
      <c r="A14" s="14" t="s">
        <v>14</v>
      </c>
      <c r="B14" s="37">
        <v>19765063</v>
      </c>
      <c r="C14" s="37">
        <v>27827799</v>
      </c>
      <c r="D14" s="37">
        <v>16097938</v>
      </c>
      <c r="E14" s="37">
        <v>65555346</v>
      </c>
      <c r="F14" s="38">
        <v>55640323</v>
      </c>
      <c r="G14" s="37">
        <v>12376580</v>
      </c>
      <c r="H14" s="37">
        <v>23724780</v>
      </c>
      <c r="I14" s="37">
        <v>39154111</v>
      </c>
      <c r="J14" s="38">
        <v>25163246</v>
      </c>
      <c r="K14" s="37">
        <v>38556257</v>
      </c>
    </row>
    <row r="15" spans="1:12">
      <c r="A15" s="14" t="s">
        <v>15</v>
      </c>
      <c r="B15" s="37">
        <v>1350938</v>
      </c>
      <c r="C15" s="37">
        <v>1227353</v>
      </c>
      <c r="D15" s="37">
        <v>1644991</v>
      </c>
      <c r="E15" s="37">
        <v>2173099</v>
      </c>
      <c r="F15" s="38">
        <v>2048689</v>
      </c>
      <c r="G15" s="37">
        <v>1959579</v>
      </c>
      <c r="H15" s="37">
        <v>2031329</v>
      </c>
      <c r="I15" s="37">
        <v>1882821</v>
      </c>
      <c r="J15" s="38">
        <v>1937763</v>
      </c>
      <c r="K15" s="37">
        <v>2082373</v>
      </c>
    </row>
    <row r="17" spans="1:11" ht="18.75">
      <c r="A17" s="65" t="s">
        <v>16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 spans="1:11">
      <c r="A18" s="10" t="s">
        <v>1</v>
      </c>
      <c r="B18" s="11">
        <v>2016</v>
      </c>
      <c r="C18" s="11">
        <v>2017</v>
      </c>
      <c r="D18" s="11">
        <v>2018</v>
      </c>
      <c r="E18" s="11">
        <v>2019</v>
      </c>
      <c r="F18" s="11">
        <v>2020</v>
      </c>
      <c r="G18" s="11">
        <v>2021</v>
      </c>
      <c r="H18" s="11">
        <v>2022</v>
      </c>
      <c r="I18" s="11">
        <v>2023</v>
      </c>
      <c r="J18" s="11">
        <v>2024</v>
      </c>
      <c r="K18" s="11">
        <v>2025</v>
      </c>
    </row>
    <row r="19" spans="1:11">
      <c r="A19" s="12" t="s">
        <v>4</v>
      </c>
      <c r="B19" s="40">
        <f>B5/$B$3</f>
        <v>0.36412168104380199</v>
      </c>
      <c r="C19" s="40">
        <f>C5/$C$3</f>
        <v>0.37826643909542024</v>
      </c>
      <c r="D19" s="40">
        <f>D5/$D$3</f>
        <v>0.44873597560307699</v>
      </c>
      <c r="E19" s="40">
        <f>E5/$E$3</f>
        <v>0.46447672115769301</v>
      </c>
      <c r="F19" s="40">
        <f>F5/$F$3</f>
        <v>0.42731866032147214</v>
      </c>
      <c r="G19" s="40">
        <f>G5/$G$3</f>
        <v>0.44674113901148887</v>
      </c>
      <c r="H19" s="40">
        <f>H5/$H$3</f>
        <v>0.4575980562384076</v>
      </c>
      <c r="I19" s="40">
        <f>I5/$I$3</f>
        <v>0.45409172219594673</v>
      </c>
      <c r="J19" s="40">
        <f>J5/$J$3</f>
        <v>0.43370717007150483</v>
      </c>
      <c r="K19" s="40">
        <f>K5/$K$3</f>
        <v>0.44221798936240603</v>
      </c>
    </row>
    <row r="20" spans="1:11">
      <c r="A20" s="12" t="s">
        <v>5</v>
      </c>
      <c r="B20" s="40">
        <f>B6/$B$3</f>
        <v>3.8971260286523472E-2</v>
      </c>
      <c r="C20" s="40">
        <f>C6/$C$3</f>
        <v>4.2209514828060235E-2</v>
      </c>
      <c r="D20" s="40">
        <f>D6/$D$3</f>
        <v>3.7233134102651382E-2</v>
      </c>
      <c r="E20" s="40">
        <f t="shared" ref="E20:E25" si="0">E6/$E$3</f>
        <v>3.3483545896275349E-2</v>
      </c>
      <c r="F20" s="40">
        <f t="shared" ref="F20:F25" si="1">F6/$F$3</f>
        <v>3.4449365074077358E-2</v>
      </c>
      <c r="G20" s="40">
        <f t="shared" ref="G20:G25" si="2">G6/$G$3</f>
        <v>3.3665713616605787E-2</v>
      </c>
      <c r="H20" s="40">
        <f t="shared" ref="H20:H25" si="3">H6/$H$3</f>
        <v>3.7499840664746049E-2</v>
      </c>
      <c r="I20" s="40">
        <f t="shared" ref="I20:I25" si="4">I6/$I$3</f>
        <v>3.7314613007266219E-2</v>
      </c>
      <c r="J20" s="40">
        <f t="shared" ref="J20:J25" si="5">J6/$J$3</f>
        <v>3.5390859109142928E-2</v>
      </c>
      <c r="K20" s="40">
        <f t="shared" ref="K20:K25" si="6">K6/$K$3</f>
        <v>3.4536349527771806E-2</v>
      </c>
    </row>
    <row r="21" spans="1:11">
      <c r="A21" s="12" t="s">
        <v>6</v>
      </c>
      <c r="B21" s="40">
        <f>B7/$B$3</f>
        <v>3.2489378742790807E-2</v>
      </c>
      <c r="C21" s="40">
        <f>C7/$C$3</f>
        <v>1.566255421249747E-2</v>
      </c>
      <c r="D21" s="40">
        <f t="shared" ref="D21:D25" si="7">D7/$D$3</f>
        <v>2.3108105595924418E-2</v>
      </c>
      <c r="E21" s="40">
        <f t="shared" si="0"/>
        <v>3.4883756353425624E-2</v>
      </c>
      <c r="F21" s="40">
        <f t="shared" si="1"/>
        <v>6.4493791168797457E-2</v>
      </c>
      <c r="G21" s="40">
        <f t="shared" si="2"/>
        <v>2.0742257160119241E-2</v>
      </c>
      <c r="H21" s="40">
        <f t="shared" si="3"/>
        <v>3.9300449957599737E-2</v>
      </c>
      <c r="I21" s="40">
        <f t="shared" si="4"/>
        <v>5.4805104157335804E-2</v>
      </c>
      <c r="J21" s="40">
        <f t="shared" si="5"/>
        <v>5.2744257043109588E-2</v>
      </c>
      <c r="K21" s="40">
        <f t="shared" si="6"/>
        <v>5.9073344280584437E-2</v>
      </c>
    </row>
    <row r="22" spans="1:11">
      <c r="A22" s="12" t="s">
        <v>7</v>
      </c>
      <c r="B22" s="40">
        <f>B8/$B$3</f>
        <v>4.579061273629218E-3</v>
      </c>
      <c r="C22" s="40">
        <f>C8/$C$3</f>
        <v>4.7251884401496884E-3</v>
      </c>
      <c r="D22" s="40">
        <f t="shared" si="7"/>
        <v>5.4831569958254025E-3</v>
      </c>
      <c r="E22" s="40">
        <f t="shared" si="0"/>
        <v>5.0974813792480072E-3</v>
      </c>
      <c r="F22" s="40">
        <f t="shared" si="1"/>
        <v>4.7488532065273975E-3</v>
      </c>
      <c r="G22" s="40">
        <f t="shared" si="2"/>
        <v>4.8502609318584787E-3</v>
      </c>
      <c r="H22" s="40">
        <f t="shared" si="3"/>
        <v>3.9364877732780117E-3</v>
      </c>
      <c r="I22" s="40">
        <f t="shared" si="4"/>
        <v>4.0843632461638911E-3</v>
      </c>
      <c r="J22" s="40">
        <f t="shared" si="5"/>
        <v>4.3055500261602112E-3</v>
      </c>
      <c r="K22" s="40">
        <f t="shared" si="6"/>
        <v>4.0988055831300361E-3</v>
      </c>
    </row>
    <row r="23" spans="1:11">
      <c r="A23" s="12" t="s">
        <v>8</v>
      </c>
      <c r="B23" s="40">
        <f>B9/$B$3</f>
        <v>0.42629753060536379</v>
      </c>
      <c r="C23" s="40">
        <f>C9/$C$3</f>
        <v>0.42687854615471493</v>
      </c>
      <c r="D23" s="40">
        <f t="shared" si="7"/>
        <v>0.41333880022233976</v>
      </c>
      <c r="E23" s="40">
        <f t="shared" si="0"/>
        <v>0.36282375677743028</v>
      </c>
      <c r="F23" s="40">
        <f t="shared" si="1"/>
        <v>0.3774007476039708</v>
      </c>
      <c r="G23" s="40">
        <f t="shared" si="2"/>
        <v>0.36167687515391089</v>
      </c>
      <c r="H23" s="40">
        <f t="shared" si="3"/>
        <v>0.35458972529154453</v>
      </c>
      <c r="I23" s="40">
        <f t="shared" si="4"/>
        <v>0.32971621823790331</v>
      </c>
      <c r="J23" s="40">
        <f t="shared" si="5"/>
        <v>0.30493896820455363</v>
      </c>
      <c r="K23" s="40">
        <f t="shared" si="6"/>
        <v>0.28633802229675109</v>
      </c>
    </row>
    <row r="24" spans="1:11">
      <c r="A24" s="12" t="s">
        <v>9</v>
      </c>
      <c r="B24" s="40">
        <f>B10/$B$3</f>
        <v>7.978511399489889E-2</v>
      </c>
      <c r="C24" s="40">
        <f>C10/$C$3</f>
        <v>5.2077473692676485E-2</v>
      </c>
      <c r="D24" s="40">
        <f t="shared" si="7"/>
        <v>2.9727448116926819E-2</v>
      </c>
      <c r="E24" s="40">
        <f t="shared" si="0"/>
        <v>2.7066943295726256E-2</v>
      </c>
      <c r="F24" s="40">
        <f t="shared" si="1"/>
        <v>2.9684704577256672E-2</v>
      </c>
      <c r="G24" s="40">
        <f t="shared" si="2"/>
        <v>2.4679886402269428E-2</v>
      </c>
      <c r="H24" s="40">
        <f t="shared" si="3"/>
        <v>2.0463561878721483E-2</v>
      </c>
      <c r="I24" s="40">
        <f t="shared" si="4"/>
        <v>2.0407835536282944E-2</v>
      </c>
      <c r="J24" s="40">
        <f t="shared" si="5"/>
        <v>2.7961531810979982E-2</v>
      </c>
      <c r="K24" s="40">
        <f t="shared" si="6"/>
        <v>5.5453275611275367E-2</v>
      </c>
    </row>
    <row r="25" spans="1:11">
      <c r="A25" s="12" t="s">
        <v>10</v>
      </c>
      <c r="B25" s="40">
        <f>B11/$B$3</f>
        <v>3.6700124783805445E-2</v>
      </c>
      <c r="C25" s="40">
        <f>C11/$C$3</f>
        <v>4.3398615366502441E-2</v>
      </c>
      <c r="D25" s="40">
        <f t="shared" si="7"/>
        <v>1.817542519674669E-2</v>
      </c>
      <c r="E25" s="40">
        <f t="shared" si="0"/>
        <v>4.3485018064302057E-2</v>
      </c>
      <c r="F25" s="40">
        <f t="shared" si="1"/>
        <v>3.6099173502991772E-2</v>
      </c>
      <c r="G25" s="40">
        <f t="shared" si="2"/>
        <v>0.10204520414256069</v>
      </c>
      <c r="H25" s="40">
        <f t="shared" si="3"/>
        <v>7.3594820990912094E-2</v>
      </c>
      <c r="I25" s="40">
        <f t="shared" si="4"/>
        <v>8.112148917241406E-2</v>
      </c>
      <c r="J25" s="40">
        <f t="shared" si="5"/>
        <v>0.1021511751786613</v>
      </c>
      <c r="K25" s="40">
        <f t="shared" si="6"/>
        <v>9.5434177358493397E-2</v>
      </c>
    </row>
  </sheetData>
  <mergeCells count="2">
    <mergeCell ref="A1:K1"/>
    <mergeCell ref="A17:K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7E01-99A5-4345-AE93-1733D6666984}">
  <dimension ref="A1:L25"/>
  <sheetViews>
    <sheetView showGridLines="0" tabSelected="1" topLeftCell="A5" workbookViewId="0">
      <selection activeCell="E5" sqref="E5"/>
    </sheetView>
  </sheetViews>
  <sheetFormatPr defaultRowHeight="15"/>
  <cols>
    <col min="1" max="1" width="26.5703125" customWidth="1"/>
    <col min="2" max="2" width="21.140625" customWidth="1"/>
    <col min="3" max="3" width="20.5703125" customWidth="1"/>
    <col min="4" max="4" width="18.5703125" customWidth="1"/>
    <col min="5" max="5" width="20.5703125" customWidth="1"/>
    <col min="6" max="6" width="20" customWidth="1"/>
    <col min="7" max="7" width="21.140625" customWidth="1"/>
    <col min="8" max="8" width="20.140625" customWidth="1"/>
    <col min="9" max="9" width="18.85546875" customWidth="1"/>
    <col min="10" max="10" width="22.28515625" customWidth="1"/>
    <col min="11" max="11" width="20.28515625" customWidth="1"/>
    <col min="12" max="12" width="21.7109375" customWidth="1"/>
  </cols>
  <sheetData>
    <row r="1" spans="1:12" ht="18.75">
      <c r="A1" s="66" t="s">
        <v>19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2">
      <c r="A2" s="2" t="s">
        <v>1</v>
      </c>
      <c r="B2" s="3" t="s">
        <v>20</v>
      </c>
      <c r="C2" s="4">
        <v>2016</v>
      </c>
      <c r="D2" s="4">
        <v>2017</v>
      </c>
      <c r="E2" s="4">
        <v>2018</v>
      </c>
      <c r="F2" s="4">
        <v>2019</v>
      </c>
      <c r="G2" s="4">
        <v>2020</v>
      </c>
      <c r="H2" s="4">
        <v>2021</v>
      </c>
      <c r="I2" s="4">
        <v>2022</v>
      </c>
      <c r="J2" s="4">
        <v>2023</v>
      </c>
      <c r="K2" s="4">
        <v>2024</v>
      </c>
      <c r="L2" s="4">
        <v>2025</v>
      </c>
    </row>
    <row r="3" spans="1:12">
      <c r="A3" s="8" t="s">
        <v>2</v>
      </c>
      <c r="B3" s="9" t="s">
        <v>21</v>
      </c>
      <c r="C3" s="44">
        <f>'São Paulo '!B3</f>
        <v>49608273636.520004</v>
      </c>
      <c r="D3" s="45">
        <v>54010996759.629997</v>
      </c>
      <c r="E3" s="44">
        <v>57383493575.370003</v>
      </c>
      <c r="F3" s="37">
        <v>65802065976</v>
      </c>
      <c r="G3" s="44">
        <v>69029896989</v>
      </c>
      <c r="H3" s="44">
        <v>79516385335</v>
      </c>
      <c r="I3" s="44">
        <v>95789912729</v>
      </c>
      <c r="J3" s="44">
        <v>103907650084</v>
      </c>
      <c r="K3" s="46">
        <v>121320658641</v>
      </c>
      <c r="L3" s="47">
        <v>127308730790</v>
      </c>
    </row>
    <row r="4" spans="1:12">
      <c r="A4" s="8" t="s">
        <v>2</v>
      </c>
      <c r="B4" s="9" t="s">
        <v>22</v>
      </c>
      <c r="C4" s="45">
        <v>4492514681.6599998</v>
      </c>
      <c r="D4" s="37">
        <f>C17</f>
        <v>4614990762</v>
      </c>
      <c r="E4" s="37">
        <f>C18</f>
        <v>5037426435.3599997</v>
      </c>
      <c r="F4" s="37">
        <v>6119036575</v>
      </c>
      <c r="G4" s="44">
        <v>6456830874</v>
      </c>
      <c r="H4" s="37">
        <v>7341521312</v>
      </c>
      <c r="I4" s="37">
        <v>8143599535</v>
      </c>
      <c r="J4" s="37">
        <v>8751568077</v>
      </c>
      <c r="K4" s="48">
        <v>10221807837</v>
      </c>
      <c r="L4" s="49">
        <v>11497786866</v>
      </c>
    </row>
    <row r="5" spans="1:12">
      <c r="A5" s="8" t="s">
        <v>23</v>
      </c>
      <c r="B5" s="9" t="s">
        <v>21</v>
      </c>
      <c r="C5" s="45">
        <v>46302379349.660004</v>
      </c>
      <c r="D5" s="45">
        <v>50970741521.989998</v>
      </c>
      <c r="E5" s="44">
        <v>52983577439.669998</v>
      </c>
      <c r="F5" s="37">
        <v>58682634320</v>
      </c>
      <c r="G5" s="50">
        <v>63343017265</v>
      </c>
      <c r="H5" s="44">
        <v>73208022092</v>
      </c>
      <c r="I5" s="44">
        <v>84950618664</v>
      </c>
      <c r="J5" s="44">
        <v>89678434971</v>
      </c>
      <c r="K5" s="46">
        <v>101553334045</v>
      </c>
      <c r="L5" s="49">
        <v>108153374942</v>
      </c>
    </row>
    <row r="6" spans="1:12">
      <c r="A6" s="8" t="s">
        <v>23</v>
      </c>
      <c r="B6" s="9" t="s">
        <v>22</v>
      </c>
      <c r="C6" s="37">
        <v>4251015179</v>
      </c>
      <c r="D6" s="37">
        <v>4244959495</v>
      </c>
      <c r="E6" s="37">
        <v>4823973654</v>
      </c>
      <c r="F6" s="37">
        <v>5677439197</v>
      </c>
      <c r="G6" s="44">
        <v>6057128002</v>
      </c>
      <c r="H6" s="37">
        <v>6551251563</v>
      </c>
      <c r="I6" s="51">
        <v>7438267085</v>
      </c>
      <c r="J6" s="51">
        <v>7880085670</v>
      </c>
      <c r="K6" s="48">
        <v>8781027016</v>
      </c>
      <c r="L6" s="49">
        <v>10137803187</v>
      </c>
    </row>
    <row r="7" spans="1:12">
      <c r="A7" s="8" t="s">
        <v>24</v>
      </c>
      <c r="B7" s="9" t="s">
        <v>21</v>
      </c>
      <c r="C7" s="45">
        <v>23503877091.34</v>
      </c>
      <c r="D7" s="45">
        <v>25715190301.720001</v>
      </c>
      <c r="E7" s="44">
        <v>30083861181.610001</v>
      </c>
      <c r="F7" s="37">
        <v>34014769940</v>
      </c>
      <c r="G7" s="44">
        <v>35519456726</v>
      </c>
      <c r="H7" s="48">
        <v>44020417927</v>
      </c>
      <c r="I7" s="52">
        <v>48012216723</v>
      </c>
      <c r="J7" s="53">
        <v>52281689827</v>
      </c>
      <c r="K7" s="54">
        <v>62707212200</v>
      </c>
      <c r="L7" s="49">
        <v>68282433804</v>
      </c>
    </row>
    <row r="8" spans="1:12">
      <c r="A8" s="8" t="s">
        <v>24</v>
      </c>
      <c r="B8" s="9" t="s">
        <v>22</v>
      </c>
      <c r="C8" s="37">
        <v>1635821998</v>
      </c>
      <c r="D8" s="37">
        <v>1745696122</v>
      </c>
      <c r="E8" s="37">
        <v>2260474466</v>
      </c>
      <c r="F8" s="37">
        <v>2842150045</v>
      </c>
      <c r="G8" s="44">
        <v>2759124319</v>
      </c>
      <c r="H8" s="46">
        <v>3279759593</v>
      </c>
      <c r="I8" s="55">
        <v>3726495318</v>
      </c>
      <c r="J8" s="56">
        <v>3974014620</v>
      </c>
      <c r="K8" s="57">
        <v>4433271350</v>
      </c>
      <c r="L8" s="49">
        <v>5084528190</v>
      </c>
    </row>
    <row r="9" spans="1:12">
      <c r="A9" s="8" t="s">
        <v>8</v>
      </c>
      <c r="B9" s="9" t="s">
        <v>21</v>
      </c>
      <c r="C9" s="45">
        <v>15466564737.219999</v>
      </c>
      <c r="D9" s="45">
        <v>16065442056.4</v>
      </c>
      <c r="E9" s="44">
        <v>17191856011.689999</v>
      </c>
      <c r="F9" s="37">
        <v>18498539693</v>
      </c>
      <c r="G9" s="44">
        <v>20953788271</v>
      </c>
      <c r="H9" s="48">
        <v>22902292291</v>
      </c>
      <c r="I9" s="58">
        <v>25027192894</v>
      </c>
      <c r="J9" s="59">
        <v>25187610430</v>
      </c>
      <c r="K9" s="54">
        <v>27419626661</v>
      </c>
      <c r="L9" s="49">
        <v>28611989373</v>
      </c>
    </row>
    <row r="10" spans="1:12">
      <c r="A10" s="8" t="s">
        <v>8</v>
      </c>
      <c r="B10" s="9" t="s">
        <v>22</v>
      </c>
      <c r="C10" s="37">
        <v>1915147915</v>
      </c>
      <c r="D10" s="37">
        <v>1970040547</v>
      </c>
      <c r="E10" s="37">
        <v>2082163799</v>
      </c>
      <c r="F10" s="37">
        <v>2220131838</v>
      </c>
      <c r="G10" s="44">
        <v>2436812799</v>
      </c>
      <c r="H10" s="37">
        <v>2655258487</v>
      </c>
      <c r="I10" s="60">
        <v>2887636722</v>
      </c>
      <c r="J10" s="60">
        <v>2885533930</v>
      </c>
      <c r="K10" s="48">
        <v>3117027535</v>
      </c>
      <c r="L10" s="61">
        <v>3292253552</v>
      </c>
    </row>
    <row r="11" spans="1:12">
      <c r="A11" s="8" t="s">
        <v>12</v>
      </c>
      <c r="B11" s="9" t="s">
        <v>21</v>
      </c>
      <c r="C11" s="45">
        <v>1357503073.3499999</v>
      </c>
      <c r="D11" s="45">
        <v>1085864721.3099999</v>
      </c>
      <c r="E11" s="44">
        <v>2333097439.04</v>
      </c>
      <c r="F11" s="37">
        <v>4553539130</v>
      </c>
      <c r="G11" s="50">
        <v>2748231619</v>
      </c>
      <c r="H11" s="44">
        <v>3486500672</v>
      </c>
      <c r="I11" s="44">
        <v>4027254959</v>
      </c>
      <c r="J11" s="44">
        <v>3553550353</v>
      </c>
      <c r="K11" s="46">
        <v>8158557663</v>
      </c>
      <c r="L11" s="62">
        <v>8039089984</v>
      </c>
    </row>
    <row r="12" spans="1:12">
      <c r="A12" s="8" t="s">
        <v>12</v>
      </c>
      <c r="B12" s="9" t="s">
        <v>22</v>
      </c>
      <c r="C12" s="37">
        <v>76623653</v>
      </c>
      <c r="D12" s="37">
        <v>169747058</v>
      </c>
      <c r="E12" s="37">
        <v>121895414</v>
      </c>
      <c r="F12" s="37">
        <v>175510961</v>
      </c>
      <c r="G12" s="44">
        <v>166616613</v>
      </c>
      <c r="H12" s="37">
        <v>41102708</v>
      </c>
      <c r="I12" s="37">
        <v>106005701</v>
      </c>
      <c r="J12" s="37">
        <v>161542172</v>
      </c>
      <c r="K12" s="48">
        <v>396611138</v>
      </c>
      <c r="L12" s="61">
        <v>262701848</v>
      </c>
    </row>
    <row r="15" spans="1:12">
      <c r="A15" s="5" t="s">
        <v>25</v>
      </c>
      <c r="B15" s="6" t="s">
        <v>26</v>
      </c>
      <c r="C15" s="7" t="s">
        <v>27</v>
      </c>
    </row>
    <row r="16" spans="1:12">
      <c r="A16" s="17">
        <v>2016</v>
      </c>
      <c r="B16" s="42">
        <f>C3</f>
        <v>49608273636.520004</v>
      </c>
      <c r="C16" s="39">
        <v>4492514681.6599998</v>
      </c>
    </row>
    <row r="17" spans="1:3">
      <c r="A17" s="17">
        <v>2017</v>
      </c>
      <c r="B17" s="43">
        <v>54010996759.629997</v>
      </c>
      <c r="C17" s="37">
        <f>Campinas!C3</f>
        <v>4614990762</v>
      </c>
    </row>
    <row r="18" spans="1:3">
      <c r="A18" s="17">
        <v>2018</v>
      </c>
      <c r="B18" s="42">
        <v>57383493575.370003</v>
      </c>
      <c r="C18" s="37">
        <f>Campinas!D3</f>
        <v>5037426435.3599997</v>
      </c>
    </row>
    <row r="19" spans="1:3">
      <c r="A19" s="17">
        <v>2019</v>
      </c>
      <c r="B19" s="41">
        <v>65802065976</v>
      </c>
      <c r="C19" s="37">
        <v>6119036575</v>
      </c>
    </row>
    <row r="20" spans="1:3">
      <c r="A20" s="17">
        <v>2020</v>
      </c>
      <c r="B20" s="42">
        <v>69029896989</v>
      </c>
      <c r="C20" s="38">
        <v>6456830874</v>
      </c>
    </row>
    <row r="21" spans="1:3">
      <c r="A21" s="17">
        <v>2021</v>
      </c>
      <c r="B21" s="42">
        <v>79516385335</v>
      </c>
      <c r="C21" s="37">
        <v>7341521312</v>
      </c>
    </row>
    <row r="22" spans="1:3">
      <c r="A22" s="17">
        <v>2022</v>
      </c>
      <c r="B22" s="42">
        <v>95789912729</v>
      </c>
      <c r="C22" s="37">
        <v>8143599535</v>
      </c>
    </row>
    <row r="23" spans="1:3">
      <c r="A23" s="17">
        <v>2023</v>
      </c>
      <c r="B23" s="42">
        <v>103907650084</v>
      </c>
      <c r="C23" s="37">
        <v>8751568077</v>
      </c>
    </row>
    <row r="24" spans="1:3">
      <c r="A24" s="17">
        <v>2024</v>
      </c>
      <c r="B24" s="41">
        <v>121320658641</v>
      </c>
      <c r="C24" s="38">
        <v>10221807837</v>
      </c>
    </row>
    <row r="25" spans="1:3">
      <c r="A25" s="17">
        <v>2025</v>
      </c>
      <c r="B25" s="41">
        <v>127308730790</v>
      </c>
      <c r="C25" s="37">
        <v>11497786866</v>
      </c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2026-05-07T20:56:38Z</dcterms:created>
  <dcterms:modified xsi:type="dcterms:W3CDTF">2026-05-09T17:33:25Z</dcterms:modified>
  <cp:category/>
  <cp:contentStatus/>
</cp:coreProperties>
</file>