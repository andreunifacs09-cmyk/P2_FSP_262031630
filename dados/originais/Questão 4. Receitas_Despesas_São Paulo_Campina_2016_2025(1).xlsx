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xr:revisionPtr revIDLastSave="0" documentId="8_{33299F8F-14F6-43F9-BBFE-82A3C3722BFB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ão Paulo" sheetId="1" r:id="rId1"/>
    <sheet name="Campinas" sheetId="2" r:id="rId2"/>
    <sheet name="Comparativo" sheetId="3" r:id="rId3"/>
    <sheet name="Gráfico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E4" i="4" s="1"/>
  <c r="F6" i="3"/>
  <c r="E5" i="4" s="1"/>
  <c r="F7" i="3"/>
  <c r="E6" i="4" s="1"/>
  <c r="F8" i="3"/>
  <c r="E7" i="4" s="1"/>
  <c r="F9" i="3"/>
  <c r="E8" i="4" s="1"/>
  <c r="F10" i="3"/>
  <c r="E9" i="4" s="1"/>
  <c r="F11" i="3"/>
  <c r="E10" i="4" s="1"/>
  <c r="F12" i="3"/>
  <c r="E11" i="4" s="1"/>
  <c r="F13" i="3"/>
  <c r="E12" i="4" s="1"/>
  <c r="F4" i="3"/>
  <c r="E3" i="4" s="1"/>
  <c r="E7" i="3"/>
  <c r="E8" i="3"/>
  <c r="E9" i="3"/>
  <c r="E10" i="3"/>
  <c r="E11" i="3"/>
  <c r="E12" i="3"/>
  <c r="E13" i="3"/>
  <c r="E4" i="3"/>
  <c r="C5" i="3"/>
  <c r="C6" i="3"/>
  <c r="C7" i="3"/>
  <c r="C8" i="3"/>
  <c r="C9" i="3"/>
  <c r="C10" i="3"/>
  <c r="C11" i="3"/>
  <c r="C12" i="3"/>
  <c r="C13" i="3"/>
  <c r="C4" i="3"/>
  <c r="B6" i="3"/>
  <c r="B7" i="3"/>
  <c r="B8" i="3"/>
  <c r="B9" i="3"/>
  <c r="B10" i="3"/>
  <c r="B11" i="3"/>
  <c r="B12" i="3"/>
  <c r="B13" i="3"/>
  <c r="B5" i="3"/>
  <c r="B4" i="3"/>
  <c r="E4" i="1"/>
  <c r="G7" i="2"/>
  <c r="G8" i="2"/>
  <c r="G9" i="2"/>
  <c r="G10" i="2"/>
  <c r="G11" i="2"/>
  <c r="G12" i="2"/>
  <c r="G13" i="2"/>
  <c r="G4" i="2"/>
  <c r="F7" i="2"/>
  <c r="F8" i="2"/>
  <c r="F9" i="2"/>
  <c r="F10" i="2"/>
  <c r="F11" i="2"/>
  <c r="F12" i="2"/>
  <c r="F13" i="2"/>
  <c r="F4" i="2"/>
  <c r="F5" i="2"/>
  <c r="E5" i="2"/>
  <c r="E6" i="2"/>
  <c r="E7" i="2"/>
  <c r="E8" i="2"/>
  <c r="E9" i="2"/>
  <c r="E10" i="2"/>
  <c r="E11" i="2"/>
  <c r="E12" i="2"/>
  <c r="E13" i="2"/>
  <c r="E4" i="2"/>
  <c r="G5" i="1"/>
  <c r="G6" i="1"/>
  <c r="G7" i="1"/>
  <c r="G8" i="1"/>
  <c r="G9" i="1"/>
  <c r="G10" i="1"/>
  <c r="G11" i="1"/>
  <c r="G12" i="1"/>
  <c r="G13" i="1"/>
  <c r="G4" i="1"/>
  <c r="F7" i="1"/>
  <c r="F8" i="1"/>
  <c r="F9" i="1"/>
  <c r="F10" i="1"/>
  <c r="F11" i="1"/>
  <c r="F12" i="1"/>
  <c r="F13" i="1"/>
  <c r="E5" i="1"/>
  <c r="E6" i="1"/>
  <c r="E7" i="1"/>
  <c r="E8" i="1"/>
  <c r="E9" i="1"/>
  <c r="E10" i="1"/>
  <c r="E11" i="1"/>
  <c r="E12" i="1"/>
  <c r="E13" i="1"/>
  <c r="F4" i="1"/>
  <c r="F5" i="1"/>
  <c r="F6" i="2"/>
  <c r="F6" i="1"/>
  <c r="E6" i="3" l="1"/>
  <c r="G6" i="2"/>
  <c r="E5" i="3"/>
  <c r="G5" i="2"/>
  <c r="B3" i="4"/>
  <c r="H4" i="3"/>
  <c r="D4" i="3"/>
  <c r="B4" i="4"/>
  <c r="H5" i="3"/>
  <c r="D5" i="3"/>
  <c r="B12" i="4"/>
  <c r="H13" i="3"/>
  <c r="D13" i="3"/>
  <c r="B11" i="4"/>
  <c r="H12" i="3"/>
  <c r="D12" i="3"/>
  <c r="B10" i="4"/>
  <c r="H11" i="3"/>
  <c r="D11" i="3"/>
  <c r="B9" i="4"/>
  <c r="H10" i="3"/>
  <c r="D10" i="3"/>
  <c r="B8" i="4"/>
  <c r="H9" i="3"/>
  <c r="D9" i="3"/>
  <c r="B7" i="4"/>
  <c r="H8" i="3"/>
  <c r="D8" i="3"/>
  <c r="B6" i="4"/>
  <c r="H7" i="3"/>
  <c r="D7" i="3"/>
  <c r="B5" i="4"/>
  <c r="H6" i="3"/>
  <c r="D6" i="3"/>
  <c r="C3" i="4"/>
  <c r="I4" i="3"/>
  <c r="C12" i="4"/>
  <c r="I13" i="3"/>
  <c r="C11" i="4"/>
  <c r="I12" i="3"/>
  <c r="C10" i="4"/>
  <c r="I11" i="3"/>
  <c r="C9" i="4"/>
  <c r="I10" i="3"/>
  <c r="C8" i="4"/>
  <c r="I9" i="3"/>
  <c r="C7" i="4"/>
  <c r="I8" i="3"/>
  <c r="C6" i="4"/>
  <c r="I7" i="3"/>
  <c r="C5" i="4"/>
  <c r="I6" i="3"/>
  <c r="C4" i="4"/>
  <c r="I5" i="3"/>
  <c r="D3" i="4"/>
  <c r="G4" i="3"/>
  <c r="D12" i="4"/>
  <c r="G13" i="3"/>
  <c r="D11" i="4"/>
  <c r="G12" i="3"/>
  <c r="D10" i="4"/>
  <c r="G11" i="3"/>
  <c r="D9" i="4"/>
  <c r="G10" i="3"/>
  <c r="D8" i="4"/>
  <c r="G9" i="3"/>
  <c r="D7" i="4"/>
  <c r="G8" i="3"/>
  <c r="D6" i="4"/>
  <c r="G7" i="3"/>
  <c r="D5" i="4"/>
  <c r="G6" i="3"/>
  <c r="D4" i="4"/>
  <c r="G5" i="3"/>
  <c r="J6" i="3" l="1"/>
  <c r="J7" i="3"/>
  <c r="J8" i="3"/>
  <c r="J9" i="3"/>
  <c r="J10" i="3"/>
  <c r="J11" i="3"/>
  <c r="J12" i="3"/>
  <c r="J13" i="3"/>
  <c r="J5" i="3"/>
  <c r="J4" i="3"/>
</calcChain>
</file>

<file path=xl/sharedStrings.xml><?xml version="1.0" encoding="utf-8"?>
<sst xmlns="http://schemas.openxmlformats.org/spreadsheetml/2006/main" count="39" uniqueCount="23">
  <si>
    <t>Evolução de receitas e despesas - São Paulo/SP</t>
  </si>
  <si>
    <t>Valores em R$ - Preço reais deflacionados pelo IPCA/IBGE</t>
  </si>
  <si>
    <t>Ano</t>
  </si>
  <si>
    <t>Receita Nominal 
(R$)</t>
  </si>
  <si>
    <t>Despesa Nominal 
(R$)</t>
  </si>
  <si>
    <t>IPCA</t>
  </si>
  <si>
    <t>Receita Real 
(R$)</t>
  </si>
  <si>
    <t>Despesa Real 
(R$)</t>
  </si>
  <si>
    <t>Saldo Real 
(R$)</t>
  </si>
  <si>
    <t>Evolução de receitas e despesas - Campinas/SP</t>
  </si>
  <si>
    <t>COMPARATIVO —  SÃO PAULO × CAMPINAS | Valores Reais em R$</t>
  </si>
  <si>
    <t>SÃO PAULO</t>
  </si>
  <si>
    <t>CAMPINAS</t>
  </si>
  <si>
    <t xml:space="preserve">DIFERENÇA </t>
  </si>
  <si>
    <t>Receita</t>
  </si>
  <si>
    <t>Despesa</t>
  </si>
  <si>
    <t>Saldo</t>
  </si>
  <si>
    <t xml:space="preserve">Fonte: SICONFI/STN. Deflator: IPCA/IBGE. </t>
  </si>
  <si>
    <t xml:space="preserve">DADOS PARA GRÁFICOS — Receitas e Despesas Reais </t>
  </si>
  <si>
    <t>São Paulo Receita</t>
  </si>
  <si>
    <t>São Paulo Despesa</t>
  </si>
  <si>
    <t>Campinas Receita</t>
  </si>
  <si>
    <t>Campinas Despesa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</si>
</sst>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8"/>
      <color rgb="FF595959"/>
      <name val="Arial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43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0" fontId="0" fillId="0" borderId="1" xfId="0" applyNumberFormat="1" applyBorder="1"/>
    <xf numFmtId="0" fontId="1" fillId="8" borderId="2" xfId="0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1" fillId="8" borderId="4" xfId="0" applyFont="1" applyFill="1" applyBorder="1" applyAlignment="1">
      <alignment vertical="center"/>
    </xf>
    <xf numFmtId="0" fontId="0" fillId="6" borderId="1" xfId="0" applyFill="1" applyBorder="1" applyAlignment="1">
      <alignment horizontal="center"/>
    </xf>
    <xf numFmtId="0" fontId="5" fillId="2" borderId="1" xfId="0" applyFont="1" applyFill="1" applyBorder="1"/>
    <xf numFmtId="0" fontId="5" fillId="4" borderId="1" xfId="0" applyFont="1" applyFill="1" applyBorder="1"/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/>
    <xf numFmtId="0" fontId="0" fillId="7" borderId="5" xfId="0" applyFill="1" applyBorder="1"/>
    <xf numFmtId="0" fontId="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0" fontId="0" fillId="8" borderId="1" xfId="0" applyNumberFormat="1" applyFill="1" applyBorder="1"/>
    <xf numFmtId="43" fontId="0" fillId="8" borderId="1" xfId="0" applyNumberFormat="1" applyFill="1" applyBorder="1" applyAlignment="1">
      <alignment horizontal="right"/>
    </xf>
    <xf numFmtId="43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43" fontId="0" fillId="0" borderId="1" xfId="0" applyNumberFormat="1" applyBorder="1"/>
    <xf numFmtId="0" fontId="3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43" fontId="0" fillId="0" borderId="7" xfId="0" applyNumberFormat="1" applyBorder="1" applyAlignment="1">
      <alignment horizontal="right"/>
    </xf>
    <xf numFmtId="43" fontId="0" fillId="0" borderId="8" xfId="0" applyNumberFormat="1" applyBorder="1" applyAlignment="1">
      <alignment horizontal="right"/>
    </xf>
    <xf numFmtId="43" fontId="0" fillId="0" borderId="5" xfId="0" applyNumberFormat="1" applyBorder="1" applyAlignment="1">
      <alignment horizontal="right"/>
    </xf>
    <xf numFmtId="0" fontId="4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Comparativo - Receita Real: São Paulo x Campinas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{"Campinas Receita"}</c:f>
              <c:strCache>
                <c:ptCount val="1"/>
                <c:pt idx="0">
                  <c:v>Campinas Receita</c:v>
                </c:pt>
              </c:strCache>
            </c:strRef>
          </c:tx>
          <c:spPr>
            <a:solidFill>
              <a:srgbClr val="3C7D22"/>
            </a:solidFill>
            <a:ln>
              <a:noFill/>
            </a:ln>
            <a:effectLst/>
          </c:spPr>
          <c:invertIfNegative val="0"/>
          <c:cat>
            <c:numRef>
              <c:f>Gráfico!A3:A12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Gráfico!D3:D12</c:f>
              <c:numCache>
                <c:formatCode>_(* #,##0.00_);_(* \(#,##0.00\);_(* "-"??_);_(@_)</c:formatCode>
                <c:ptCount val="10"/>
                <c:pt idx="0">
                  <c:v>4226657899.7647943</c:v>
                </c:pt>
                <c:pt idx="1">
                  <c:v>4341886124.7530346</c:v>
                </c:pt>
                <c:pt idx="2">
                  <c:v>4773192619.5879202</c:v>
                </c:pt>
                <c:pt idx="3">
                  <c:v>5756925933.7661114</c:v>
                </c:pt>
                <c:pt idx="4">
                  <c:v>6074730335.8735533</c:v>
                </c:pt>
                <c:pt idx="5">
                  <c:v>6907066809.6716537</c:v>
                </c:pt>
                <c:pt idx="6">
                  <c:v>7661679871.1073484</c:v>
                </c:pt>
                <c:pt idx="7">
                  <c:v>8233670220.1524134</c:v>
                </c:pt>
                <c:pt idx="8">
                  <c:v>9616904541.3491402</c:v>
                </c:pt>
                <c:pt idx="9">
                  <c:v>10817374038.950043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D9-407A-A742-1A0EF02F25E6}"/>
            </c:ext>
          </c:extLst>
        </c:ser>
        <c:ser>
          <c:idx val="0"/>
          <c:order val="1"/>
          <c:tx>
            <c:strRef>
              <c:f>Gráfico!$B$2</c:f>
              <c:strCache>
                <c:ptCount val="1"/>
                <c:pt idx="0">
                  <c:v>São Paulo Receita</c:v>
                </c:pt>
              </c:strCache>
            </c:strRef>
          </c:tx>
          <c:spPr>
            <a:solidFill>
              <a:srgbClr val="E87331"/>
            </a:solidFill>
            <a:ln>
              <a:noFill/>
            </a:ln>
            <a:effectLst/>
          </c:spPr>
          <c:invertIfNegative val="0"/>
          <c:cat>
            <c:numRef>
              <c:f>Gráfico!A3:A12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Gráfico!$B$3:$B$12</c:f>
              <c:numCache>
                <c:formatCode>_(* #,##0.00_);_(* \(#,##0.00\);_(* "-"??_);_(@_)</c:formatCode>
                <c:ptCount val="10"/>
                <c:pt idx="0">
                  <c:v>46672569043.672966</c:v>
                </c:pt>
                <c:pt idx="1">
                  <c:v>50814749044.717285</c:v>
                </c:pt>
                <c:pt idx="2">
                  <c:v>53987669183.714371</c:v>
                </c:pt>
                <c:pt idx="3">
                  <c:v>61908049652.836578</c:v>
                </c:pt>
                <c:pt idx="4">
                  <c:v>64944864981.653969</c:v>
                </c:pt>
                <c:pt idx="5">
                  <c:v>74810786842.600433</c:v>
                </c:pt>
                <c:pt idx="6">
                  <c:v>90121283967.447556</c:v>
                </c:pt>
                <c:pt idx="7">
                  <c:v>97758632123.435883</c:v>
                </c:pt>
                <c:pt idx="8">
                  <c:v>114141178512.55998</c:v>
                </c:pt>
                <c:pt idx="9">
                  <c:v>119774890196.63187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D9-407A-A742-1A0EF02F2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32455"/>
        <c:axId val="33875463"/>
      </c:barChart>
      <c:catAx>
        <c:axId val="33832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75463"/>
        <c:crosses val="autoZero"/>
        <c:auto val="1"/>
        <c:lblAlgn val="ctr"/>
        <c:lblOffset val="100"/>
        <c:noMultiLvlLbl val="0"/>
      </c:catAx>
      <c:valAx>
        <c:axId val="33875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32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Comparativo - Despesa Real: São Paulo x Campinas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Gráfico!E2</c:f>
              <c:strCache>
                <c:ptCount val="1"/>
                <c:pt idx="0">
                  <c:v>Campinas Despesa</c:v>
                </c:pt>
              </c:strCache>
            </c:strRef>
          </c:tx>
          <c:spPr>
            <a:solidFill>
              <a:srgbClr val="3C7D22"/>
            </a:solidFill>
            <a:ln>
              <a:noFill/>
            </a:ln>
            <a:effectLst/>
          </c:spPr>
          <c:invertIfNegative val="0"/>
          <c:cat>
            <c:numRef>
              <c:f>Gráfico!A3:A12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Gráfico!E3:E12</c:f>
              <c:numCache>
                <c:formatCode>_(* #,##0.00_);_(* \(#,##0.00\);_(* "-"??_);_(@_)</c:formatCode>
                <c:ptCount val="10"/>
                <c:pt idx="0">
                  <c:v>4334324904.7421684</c:v>
                </c:pt>
                <c:pt idx="1">
                  <c:v>4549374152.3277102</c:v>
                </c:pt>
                <c:pt idx="2">
                  <c:v>4707134647.5373487</c:v>
                </c:pt>
                <c:pt idx="3">
                  <c:v>5325289157.9277105</c:v>
                </c:pt>
                <c:pt idx="4">
                  <c:v>5477248278.428915</c:v>
                </c:pt>
                <c:pt idx="5">
                  <c:v>6275483790.9975901</c:v>
                </c:pt>
                <c:pt idx="6">
                  <c:v>6958595088.1734934</c:v>
                </c:pt>
                <c:pt idx="7">
                  <c:v>8023707113.0120478</c:v>
                </c:pt>
                <c:pt idx="8">
                  <c:v>9024810008.5397587</c:v>
                </c:pt>
                <c:pt idx="9">
                  <c:v>10280978575.498795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3-4A4B-95D5-5CED8960E829}"/>
            </c:ext>
          </c:extLst>
        </c:ser>
        <c:ser>
          <c:idx val="1"/>
          <c:order val="1"/>
          <c:tx>
            <c:strRef>
              <c:f>Gráfico!C2</c:f>
              <c:strCache>
                <c:ptCount val="1"/>
                <c:pt idx="0">
                  <c:v>São Paulo Despesa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Gráfico!A3:A12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Gráfico!C3:C12</c:f>
              <c:numCache>
                <c:formatCode>_(* #,##0.00_);_(* \(#,##0.00\);_(* "-"??_);_(@_)</c:formatCode>
                <c:ptCount val="10"/>
                <c:pt idx="0">
                  <c:v>47636162806.380722</c:v>
                </c:pt>
                <c:pt idx="1">
                  <c:v>49555690676.703613</c:v>
                </c:pt>
                <c:pt idx="2">
                  <c:v>52199654684.983124</c:v>
                </c:pt>
                <c:pt idx="3">
                  <c:v>57242818577.127701</c:v>
                </c:pt>
                <c:pt idx="4">
                  <c:v>62568999917.098785</c:v>
                </c:pt>
                <c:pt idx="5">
                  <c:v>70769429522.775909</c:v>
                </c:pt>
                <c:pt idx="6">
                  <c:v>87795990557.455414</c:v>
                </c:pt>
                <c:pt idx="7">
                  <c:v>102967916858.69878</c:v>
                </c:pt>
                <c:pt idx="8">
                  <c:v>119430538435.44096</c:v>
                </c:pt>
                <c:pt idx="9">
                  <c:v>119105355846.98795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C3-4A4B-95D5-5CED8960E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056199"/>
        <c:axId val="1250045959"/>
      </c:barChart>
      <c:catAx>
        <c:axId val="1250056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45959"/>
        <c:crosses val="autoZero"/>
        <c:auto val="1"/>
        <c:lblAlgn val="ctr"/>
        <c:lblOffset val="100"/>
        <c:noMultiLvlLbl val="0"/>
      </c:catAx>
      <c:valAx>
        <c:axId val="1250045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56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12</xdr:row>
      <xdr:rowOff>171450</xdr:rowOff>
    </xdr:from>
    <xdr:to>
      <xdr:col>4</xdr:col>
      <xdr:colOff>533400</xdr:colOff>
      <xdr:row>27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EAD3FF-7DAA-8470-11D9-102DA6E10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695325</xdr:colOff>
      <xdr:row>12</xdr:row>
      <xdr:rowOff>171450</xdr:rowOff>
    </xdr:from>
    <xdr:to>
      <xdr:col>9</xdr:col>
      <xdr:colOff>247650</xdr:colOff>
      <xdr:row>27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99A10E0-5C6C-62BC-4EDE-83DA618F5456}"/>
            </a:ext>
            <a:ext uri="{147F2762-F138-4A5C-976F-8EAC2B608ADB}">
              <a16:predDERef xmlns:a16="http://schemas.microsoft.com/office/drawing/2014/main" pred="{E9EAD3FF-7DAA-8470-11D9-102DA6E10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uest&#227;o%203.%20Receitas_S&#227;o%20Paulo_Campinas_201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ina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showGridLines="0" topLeftCell="A3" workbookViewId="0">
      <selection activeCell="B4" sqref="B4"/>
    </sheetView>
  </sheetViews>
  <sheetFormatPr defaultRowHeight="15"/>
  <cols>
    <col min="1" max="1" width="12" customWidth="1"/>
    <col min="2" max="2" width="19.5703125" customWidth="1"/>
    <col min="3" max="3" width="19.42578125" customWidth="1"/>
    <col min="4" max="4" width="9.7109375" customWidth="1"/>
    <col min="5" max="5" width="19.42578125" customWidth="1"/>
    <col min="6" max="6" width="20.5703125" customWidth="1"/>
    <col min="7" max="7" width="17.42578125" customWidth="1"/>
    <col min="8" max="8" width="14.42578125" customWidth="1"/>
    <col min="9" max="9" width="15.28515625" customWidth="1"/>
    <col min="10" max="10" width="14.7109375" customWidth="1"/>
  </cols>
  <sheetData>
    <row r="1" spans="1:11" ht="24.75" customHeight="1">
      <c r="A1" s="26" t="s">
        <v>0</v>
      </c>
      <c r="B1" s="26"/>
      <c r="C1" s="26"/>
      <c r="D1" s="26"/>
      <c r="E1" s="26"/>
      <c r="F1" s="26"/>
      <c r="G1" s="26"/>
    </row>
    <row r="2" spans="1:11">
      <c r="A2" s="27" t="s">
        <v>1</v>
      </c>
      <c r="B2" s="27"/>
      <c r="C2" s="27"/>
      <c r="D2" s="27"/>
      <c r="E2" s="27"/>
      <c r="F2" s="27"/>
      <c r="G2" s="27"/>
    </row>
    <row r="3" spans="1:11" ht="34.5" customHeight="1">
      <c r="A3" s="4" t="s">
        <v>2</v>
      </c>
      <c r="B3" s="6" t="s">
        <v>3</v>
      </c>
      <c r="C3" s="7" t="s">
        <v>4</v>
      </c>
      <c r="D3" s="6" t="s">
        <v>5</v>
      </c>
      <c r="E3" s="7" t="s">
        <v>6</v>
      </c>
      <c r="F3" s="7" t="s">
        <v>7</v>
      </c>
      <c r="G3" s="7" t="s">
        <v>8</v>
      </c>
      <c r="H3" s="1"/>
      <c r="I3" s="1"/>
      <c r="J3" s="1"/>
      <c r="K3" s="2"/>
    </row>
    <row r="4" spans="1:11">
      <c r="A4" s="5">
        <v>2016</v>
      </c>
      <c r="B4" s="22">
        <v>49608273636.519997</v>
      </c>
      <c r="C4" s="22">
        <v>49422518911.620003</v>
      </c>
      <c r="D4" s="21">
        <v>6.2899999999999998E-2</v>
      </c>
      <c r="E4" s="22">
        <f>B4/(1+D$4)</f>
        <v>46672569043.672966</v>
      </c>
      <c r="F4" s="22">
        <f t="shared" ref="F4:F5" si="0">C4/(1+D$6)</f>
        <v>47636162806.380722</v>
      </c>
      <c r="G4" s="22">
        <f>E4-F4</f>
        <v>-963593762.70775604</v>
      </c>
    </row>
    <row r="5" spans="1:11">
      <c r="A5" s="5">
        <v>2017</v>
      </c>
      <c r="B5" s="22">
        <v>54010996759.629997</v>
      </c>
      <c r="C5" s="22">
        <v>51414029077.080002</v>
      </c>
      <c r="D5" s="21">
        <v>2.9499999999999998E-2</v>
      </c>
      <c r="E5" s="22">
        <f t="shared" ref="E5:E13" si="1">B5/(1+D$4)</f>
        <v>50814749044.717285</v>
      </c>
      <c r="F5" s="22">
        <f t="shared" si="0"/>
        <v>49555690676.703613</v>
      </c>
      <c r="G5" s="22">
        <f t="shared" ref="G5:G13" si="2">E5-F5</f>
        <v>1259058368.0136719</v>
      </c>
    </row>
    <row r="6" spans="1:11">
      <c r="A6" s="5">
        <v>2018</v>
      </c>
      <c r="B6" s="22">
        <v>57383493575.370003</v>
      </c>
      <c r="C6" s="22">
        <v>54157141735.669998</v>
      </c>
      <c r="D6" s="21">
        <v>3.7499999999999999E-2</v>
      </c>
      <c r="E6" s="22">
        <f t="shared" si="1"/>
        <v>53987669183.714371</v>
      </c>
      <c r="F6" s="22">
        <f>C6/(1+D$6)</f>
        <v>52199654684.983124</v>
      </c>
      <c r="G6" s="22">
        <f t="shared" si="2"/>
        <v>1788014498.7312469</v>
      </c>
    </row>
    <row r="7" spans="1:11">
      <c r="A7" s="5">
        <v>2019</v>
      </c>
      <c r="B7" s="22">
        <v>65802065976</v>
      </c>
      <c r="C7" s="22">
        <v>59389424273.769997</v>
      </c>
      <c r="D7" s="21">
        <v>4.3099999999999999E-2</v>
      </c>
      <c r="E7" s="22">
        <f t="shared" si="1"/>
        <v>61908049652.836578</v>
      </c>
      <c r="F7" s="22">
        <f t="shared" ref="F7:F13" si="3">C7/(1+D$6)</f>
        <v>57242818577.127701</v>
      </c>
      <c r="G7" s="22">
        <f t="shared" si="2"/>
        <v>4665231075.7088776</v>
      </c>
    </row>
    <row r="8" spans="1:11">
      <c r="A8" s="5">
        <v>2020</v>
      </c>
      <c r="B8" s="22">
        <v>69029896989</v>
      </c>
      <c r="C8" s="22">
        <v>64915337413.989998</v>
      </c>
      <c r="D8" s="21">
        <v>4.5199999999999997E-2</v>
      </c>
      <c r="E8" s="22">
        <f t="shared" si="1"/>
        <v>64944864981.653969</v>
      </c>
      <c r="F8" s="22">
        <f t="shared" si="3"/>
        <v>62568999917.098785</v>
      </c>
      <c r="G8" s="22">
        <f t="shared" si="2"/>
        <v>2375865064.5551834</v>
      </c>
    </row>
    <row r="9" spans="1:11">
      <c r="A9" s="5">
        <v>2021</v>
      </c>
      <c r="B9" s="22">
        <v>79516385335</v>
      </c>
      <c r="C9" s="22">
        <v>73423283129.880005</v>
      </c>
      <c r="D9" s="21">
        <v>0.10059999999999999</v>
      </c>
      <c r="E9" s="22">
        <f t="shared" si="1"/>
        <v>74810786842.600433</v>
      </c>
      <c r="F9" s="22">
        <f t="shared" si="3"/>
        <v>70769429522.775909</v>
      </c>
      <c r="G9" s="22">
        <f t="shared" si="2"/>
        <v>4041357319.8245239</v>
      </c>
    </row>
    <row r="10" spans="1:11">
      <c r="A10" s="5">
        <v>2022</v>
      </c>
      <c r="B10" s="22">
        <v>95789912729</v>
      </c>
      <c r="C10" s="22">
        <v>91088340203.360001</v>
      </c>
      <c r="D10" s="21">
        <v>5.79E-2</v>
      </c>
      <c r="E10" s="22">
        <f t="shared" si="1"/>
        <v>90121283967.447556</v>
      </c>
      <c r="F10" s="22">
        <f t="shared" si="3"/>
        <v>87795990557.455414</v>
      </c>
      <c r="G10" s="22">
        <f t="shared" si="2"/>
        <v>2325293409.9921417</v>
      </c>
    </row>
    <row r="11" spans="1:11">
      <c r="A11" s="5">
        <v>2023</v>
      </c>
      <c r="B11" s="22">
        <v>103907650084</v>
      </c>
      <c r="C11" s="22">
        <v>106829213740.89999</v>
      </c>
      <c r="D11" s="21">
        <v>4.6199999999999998E-2</v>
      </c>
      <c r="E11" s="22">
        <f t="shared" si="1"/>
        <v>97758632123.435883</v>
      </c>
      <c r="F11" s="22">
        <f t="shared" si="3"/>
        <v>102967916858.69878</v>
      </c>
      <c r="G11" s="22">
        <f t="shared" si="2"/>
        <v>-5209284735.2628937</v>
      </c>
    </row>
    <row r="12" spans="1:11">
      <c r="A12" s="5">
        <v>2024</v>
      </c>
      <c r="B12" s="22">
        <v>121320658641</v>
      </c>
      <c r="C12" s="22">
        <v>123909183626.77</v>
      </c>
      <c r="D12" s="21">
        <v>4.8300000000000003E-2</v>
      </c>
      <c r="E12" s="22">
        <f t="shared" si="1"/>
        <v>114141178512.55998</v>
      </c>
      <c r="F12" s="22">
        <f t="shared" si="3"/>
        <v>119430538435.44096</v>
      </c>
      <c r="G12" s="22">
        <f t="shared" si="2"/>
        <v>-5289359922.8809814</v>
      </c>
    </row>
    <row r="13" spans="1:11">
      <c r="A13" s="5">
        <v>2025</v>
      </c>
      <c r="B13" s="22">
        <v>127308730790</v>
      </c>
      <c r="C13" s="22">
        <v>123571806691.25</v>
      </c>
      <c r="D13" s="21">
        <v>4.2599999999999999E-2</v>
      </c>
      <c r="E13" s="22">
        <f t="shared" si="1"/>
        <v>119774890196.63187</v>
      </c>
      <c r="F13" s="22">
        <f t="shared" si="3"/>
        <v>119105355846.98795</v>
      </c>
      <c r="G13" s="22">
        <f t="shared" si="2"/>
        <v>669534349.6439209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6494-8DD0-4C12-BFA9-1C4169C65D88}">
  <dimension ref="A1:K14"/>
  <sheetViews>
    <sheetView showGridLines="0" tabSelected="1" workbookViewId="0">
      <selection activeCell="B5" sqref="B5:B6"/>
    </sheetView>
  </sheetViews>
  <sheetFormatPr defaultRowHeight="15"/>
  <cols>
    <col min="1" max="1" width="10.28515625" customWidth="1"/>
    <col min="2" max="2" width="18.140625" customWidth="1"/>
    <col min="3" max="3" width="21.85546875" customWidth="1"/>
    <col min="4" max="4" width="11" customWidth="1"/>
    <col min="5" max="6" width="18.85546875" customWidth="1"/>
    <col min="7" max="8" width="17.7109375" customWidth="1"/>
    <col min="9" max="9" width="14.7109375" customWidth="1"/>
    <col min="10" max="10" width="12.7109375" customWidth="1"/>
    <col min="11" max="11" width="14.28515625" customWidth="1"/>
  </cols>
  <sheetData>
    <row r="1" spans="1:11" ht="25.5" customHeight="1">
      <c r="A1" s="26" t="s">
        <v>9</v>
      </c>
      <c r="B1" s="26"/>
      <c r="C1" s="26"/>
      <c r="D1" s="26"/>
      <c r="E1" s="26"/>
      <c r="F1" s="26"/>
      <c r="G1" s="26"/>
    </row>
    <row r="2" spans="1:11">
      <c r="A2" s="27" t="s">
        <v>1</v>
      </c>
      <c r="B2" s="27"/>
      <c r="C2" s="27"/>
      <c r="D2" s="27"/>
      <c r="E2" s="27"/>
      <c r="F2" s="27"/>
      <c r="G2" s="27"/>
    </row>
    <row r="3" spans="1:11" ht="37.5" customHeight="1">
      <c r="A3" s="4" t="s">
        <v>2</v>
      </c>
      <c r="B3" s="7" t="s">
        <v>3</v>
      </c>
      <c r="C3" s="7" t="s">
        <v>4</v>
      </c>
      <c r="D3" s="6" t="s">
        <v>5</v>
      </c>
      <c r="E3" s="7" t="s">
        <v>6</v>
      </c>
      <c r="F3" s="7" t="s">
        <v>7</v>
      </c>
      <c r="G3" s="7" t="s">
        <v>8</v>
      </c>
      <c r="H3" s="1"/>
      <c r="I3" s="1"/>
      <c r="J3" s="1"/>
      <c r="K3" s="2"/>
    </row>
    <row r="4" spans="1:11">
      <c r="A4" s="5">
        <v>2016</v>
      </c>
      <c r="B4" s="35">
        <v>4492514681.6599998</v>
      </c>
      <c r="C4" s="23">
        <v>4496862088.6700001</v>
      </c>
      <c r="D4" s="8">
        <v>6.2899999999999998E-2</v>
      </c>
      <c r="E4" s="23">
        <f>B4/(1+D$4)</f>
        <v>4226657899.7647943</v>
      </c>
      <c r="F4" s="23">
        <f t="shared" ref="F4:F5" si="0">C4/(1+D$6)</f>
        <v>4334324904.7421684</v>
      </c>
      <c r="G4" s="23">
        <f>E4-F4</f>
        <v>-107667004.97737408</v>
      </c>
    </row>
    <row r="5" spans="1:11">
      <c r="A5" s="33">
        <v>2017</v>
      </c>
      <c r="B5" s="25">
        <v>4614990762</v>
      </c>
      <c r="C5" s="34">
        <v>4719975683.04</v>
      </c>
      <c r="D5" s="8">
        <v>2.9499999999999998E-2</v>
      </c>
      <c r="E5" s="23">
        <f t="shared" ref="E5:E13" si="1">B5/(1+D$4)</f>
        <v>4341886124.7530346</v>
      </c>
      <c r="F5" s="23">
        <f t="shared" si="0"/>
        <v>4549374152.3277102</v>
      </c>
      <c r="G5" s="23">
        <f t="shared" ref="G5:G13" si="2">E5-F5</f>
        <v>-207488027.57467556</v>
      </c>
    </row>
    <row r="6" spans="1:11">
      <c r="A6" s="33">
        <v>2018</v>
      </c>
      <c r="B6" s="25">
        <v>5073426435.3599997</v>
      </c>
      <c r="C6" s="34">
        <v>4883652196.8199997</v>
      </c>
      <c r="D6" s="8">
        <v>3.7499999999999999E-2</v>
      </c>
      <c r="E6" s="23">
        <f t="shared" si="1"/>
        <v>4773192619.5879202</v>
      </c>
      <c r="F6" s="23">
        <f>C6/(1+D$6)</f>
        <v>4707134647.5373487</v>
      </c>
      <c r="G6" s="23">
        <f t="shared" si="2"/>
        <v>66057972.050571442</v>
      </c>
    </row>
    <row r="7" spans="1:11">
      <c r="A7" s="5">
        <v>2019</v>
      </c>
      <c r="B7" s="36">
        <v>6119036575</v>
      </c>
      <c r="C7" s="23">
        <v>5524987501.3500004</v>
      </c>
      <c r="D7" s="8">
        <v>4.3099999999999999E-2</v>
      </c>
      <c r="E7" s="23">
        <f t="shared" si="1"/>
        <v>5756925933.7661114</v>
      </c>
      <c r="F7" s="23">
        <f t="shared" ref="F7:F13" si="3">C7/(1+D$6)</f>
        <v>5325289157.9277105</v>
      </c>
      <c r="G7" s="23">
        <f t="shared" si="2"/>
        <v>431636775.83840084</v>
      </c>
    </row>
    <row r="8" spans="1:11">
      <c r="A8" s="5">
        <v>2020</v>
      </c>
      <c r="B8" s="23">
        <v>6456830874</v>
      </c>
      <c r="C8" s="23">
        <v>5682645088.8699999</v>
      </c>
      <c r="D8" s="8">
        <v>4.5199999999999997E-2</v>
      </c>
      <c r="E8" s="23">
        <f t="shared" si="1"/>
        <v>6074730335.8735533</v>
      </c>
      <c r="F8" s="23">
        <f t="shared" si="3"/>
        <v>5477248278.428915</v>
      </c>
      <c r="G8" s="23">
        <f t="shared" si="2"/>
        <v>597482057.44463825</v>
      </c>
    </row>
    <row r="9" spans="1:11">
      <c r="A9" s="5">
        <v>2021</v>
      </c>
      <c r="B9" s="23">
        <v>7341521312</v>
      </c>
      <c r="C9" s="23">
        <v>6510814433.1599998</v>
      </c>
      <c r="D9" s="8">
        <v>0.10059999999999999</v>
      </c>
      <c r="E9" s="23">
        <f t="shared" si="1"/>
        <v>6907066809.6716537</v>
      </c>
      <c r="F9" s="23">
        <f t="shared" si="3"/>
        <v>6275483790.9975901</v>
      </c>
      <c r="G9" s="23">
        <f t="shared" si="2"/>
        <v>631583018.67406368</v>
      </c>
    </row>
    <row r="10" spans="1:11">
      <c r="A10" s="5">
        <v>2022</v>
      </c>
      <c r="B10" s="23">
        <v>8143599535</v>
      </c>
      <c r="C10" s="23">
        <v>7219542403.9799995</v>
      </c>
      <c r="D10" s="8">
        <v>5.79E-2</v>
      </c>
      <c r="E10" s="23">
        <f t="shared" si="1"/>
        <v>7661679871.1073484</v>
      </c>
      <c r="F10" s="23">
        <f t="shared" si="3"/>
        <v>6958595088.1734934</v>
      </c>
      <c r="G10" s="23">
        <f t="shared" si="2"/>
        <v>703084782.93385506</v>
      </c>
    </row>
    <row r="11" spans="1:11">
      <c r="A11" s="5">
        <v>2023</v>
      </c>
      <c r="B11" s="23">
        <v>8751568077</v>
      </c>
      <c r="C11" s="23">
        <v>8324596129.75</v>
      </c>
      <c r="D11" s="8">
        <v>4.6199999999999998E-2</v>
      </c>
      <c r="E11" s="23">
        <f t="shared" si="1"/>
        <v>8233670220.1524134</v>
      </c>
      <c r="F11" s="23">
        <f t="shared" si="3"/>
        <v>8023707113.0120478</v>
      </c>
      <c r="G11" s="23">
        <f t="shared" si="2"/>
        <v>209963107.1403656</v>
      </c>
    </row>
    <row r="12" spans="1:11">
      <c r="A12" s="5">
        <v>2024</v>
      </c>
      <c r="B12" s="24">
        <v>10221807837</v>
      </c>
      <c r="C12" s="23">
        <v>9363240383.8600006</v>
      </c>
      <c r="D12" s="8">
        <v>4.8300000000000003E-2</v>
      </c>
      <c r="E12" s="23">
        <f t="shared" si="1"/>
        <v>9616904541.3491402</v>
      </c>
      <c r="F12" s="23">
        <f t="shared" si="3"/>
        <v>9024810008.5397587</v>
      </c>
      <c r="G12" s="23">
        <f t="shared" si="2"/>
        <v>592094532.80938148</v>
      </c>
    </row>
    <row r="13" spans="1:11">
      <c r="A13" s="5">
        <v>2025</v>
      </c>
      <c r="B13" s="24">
        <v>11497786866</v>
      </c>
      <c r="C13" s="23">
        <v>10666515272.08</v>
      </c>
      <c r="D13" s="8">
        <v>4.2599999999999999E-2</v>
      </c>
      <c r="E13" s="23">
        <f t="shared" si="1"/>
        <v>10817374038.950043</v>
      </c>
      <c r="F13" s="23">
        <f t="shared" si="3"/>
        <v>10280978575.498795</v>
      </c>
      <c r="G13" s="23">
        <f t="shared" si="2"/>
        <v>536395463.45124817</v>
      </c>
    </row>
    <row r="14" spans="1:11">
      <c r="E14" s="3"/>
      <c r="F14" s="3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69CA-84DB-432E-96CA-2CB728F275F9}">
  <dimension ref="A1:M15"/>
  <sheetViews>
    <sheetView showGridLines="0" topLeftCell="D1" workbookViewId="0">
      <selection activeCell="B4" sqref="B4:J13"/>
    </sheetView>
  </sheetViews>
  <sheetFormatPr defaultRowHeight="15"/>
  <cols>
    <col min="1" max="1" width="11.42578125" customWidth="1"/>
    <col min="2" max="10" width="20.7109375" customWidth="1"/>
  </cols>
  <sheetData>
    <row r="1" spans="1:13" ht="27.75" customHeight="1">
      <c r="A1" s="31" t="s">
        <v>10</v>
      </c>
      <c r="B1" s="31"/>
      <c r="C1" s="31"/>
      <c r="D1" s="31"/>
      <c r="E1" s="31"/>
      <c r="F1" s="31"/>
      <c r="G1" s="31"/>
      <c r="H1" s="31"/>
      <c r="I1" s="31"/>
      <c r="J1" s="31"/>
      <c r="K1" s="9"/>
      <c r="L1" s="10"/>
      <c r="M1" s="11"/>
    </row>
    <row r="2" spans="1:13">
      <c r="A2" s="17"/>
      <c r="B2" s="28" t="s">
        <v>11</v>
      </c>
      <c r="C2" s="28"/>
      <c r="D2" s="28"/>
      <c r="E2" s="29" t="s">
        <v>12</v>
      </c>
      <c r="F2" s="29"/>
      <c r="G2" s="29"/>
      <c r="H2" s="30" t="s">
        <v>13</v>
      </c>
      <c r="I2" s="30"/>
      <c r="J2" s="30"/>
    </row>
    <row r="3" spans="1:13">
      <c r="A3" s="12" t="s">
        <v>2</v>
      </c>
      <c r="B3" s="13" t="s">
        <v>14</v>
      </c>
      <c r="C3" s="13" t="s">
        <v>15</v>
      </c>
      <c r="D3" s="13" t="s">
        <v>16</v>
      </c>
      <c r="E3" s="14" t="s">
        <v>14</v>
      </c>
      <c r="F3" s="14" t="s">
        <v>15</v>
      </c>
      <c r="G3" s="14" t="s">
        <v>16</v>
      </c>
      <c r="H3" s="16" t="s">
        <v>14</v>
      </c>
      <c r="I3" s="16" t="s">
        <v>15</v>
      </c>
      <c r="J3" s="16" t="s">
        <v>16</v>
      </c>
    </row>
    <row r="4" spans="1:13">
      <c r="A4" s="18">
        <v>2016</v>
      </c>
      <c r="B4" s="23">
        <f>'São Paulo'!E4</f>
        <v>46672569043.672966</v>
      </c>
      <c r="C4" s="23">
        <f>'São Paulo'!F4</f>
        <v>47636162806.380722</v>
      </c>
      <c r="D4" s="23">
        <f>B4-C4</f>
        <v>-963593762.70775604</v>
      </c>
      <c r="E4" s="23">
        <f>Campinas!E4</f>
        <v>4226657899.7647943</v>
      </c>
      <c r="F4" s="23">
        <f>Campinas!F4</f>
        <v>4334324904.7421684</v>
      </c>
      <c r="G4" s="23">
        <f>E4-F4</f>
        <v>-107667004.97737408</v>
      </c>
      <c r="H4" s="23">
        <f>B4-E4</f>
        <v>42445911143.908173</v>
      </c>
      <c r="I4" s="23">
        <f>C4-F4</f>
        <v>43301837901.63855</v>
      </c>
      <c r="J4" s="23">
        <f>H4-I4</f>
        <v>-855926757.7303772</v>
      </c>
    </row>
    <row r="5" spans="1:13">
      <c r="A5" s="18">
        <v>2017</v>
      </c>
      <c r="B5" s="23">
        <f>'São Paulo'!E5</f>
        <v>50814749044.717285</v>
      </c>
      <c r="C5" s="23">
        <f>'São Paulo'!F5</f>
        <v>49555690676.703613</v>
      </c>
      <c r="D5" s="23">
        <f>B5-C5</f>
        <v>1259058368.0136719</v>
      </c>
      <c r="E5" s="23">
        <f>Campinas!E5</f>
        <v>4341886124.7530346</v>
      </c>
      <c r="F5" s="23">
        <f>Campinas!F5</f>
        <v>4549374152.3277102</v>
      </c>
      <c r="G5" s="23">
        <f t="shared" ref="G5:G13" si="0">E5-F5</f>
        <v>-207488027.57467556</v>
      </c>
      <c r="H5" s="23">
        <f t="shared" ref="H5:H13" si="1">B5-E5</f>
        <v>46472862919.964249</v>
      </c>
      <c r="I5" s="23">
        <f t="shared" ref="I5:I13" si="2">C5-F5</f>
        <v>45006316524.3759</v>
      </c>
      <c r="J5" s="23">
        <f t="shared" ref="J5:J13" si="3">H5-I5</f>
        <v>1466546395.5883484</v>
      </c>
    </row>
    <row r="6" spans="1:13">
      <c r="A6" s="18">
        <v>2018</v>
      </c>
      <c r="B6" s="23">
        <f>'São Paulo'!E6</f>
        <v>53987669183.714371</v>
      </c>
      <c r="C6" s="23">
        <f>'São Paulo'!F6</f>
        <v>52199654684.983124</v>
      </c>
      <c r="D6" s="23">
        <f t="shared" ref="D6:D13" si="4">B6-C6</f>
        <v>1788014498.7312469</v>
      </c>
      <c r="E6" s="23">
        <f>Campinas!E6</f>
        <v>4773192619.5879202</v>
      </c>
      <c r="F6" s="23">
        <f>Campinas!F6</f>
        <v>4707134647.5373487</v>
      </c>
      <c r="G6" s="23">
        <f t="shared" si="0"/>
        <v>66057972.050571442</v>
      </c>
      <c r="H6" s="23">
        <f t="shared" si="1"/>
        <v>49214476564.12645</v>
      </c>
      <c r="I6" s="23">
        <f t="shared" si="2"/>
        <v>47492520037.445778</v>
      </c>
      <c r="J6" s="23">
        <f t="shared" si="3"/>
        <v>1721956526.6806717</v>
      </c>
    </row>
    <row r="7" spans="1:13">
      <c r="A7" s="18">
        <v>2019</v>
      </c>
      <c r="B7" s="23">
        <f>'São Paulo'!E7</f>
        <v>61908049652.836578</v>
      </c>
      <c r="C7" s="23">
        <f>'São Paulo'!F7</f>
        <v>57242818577.127701</v>
      </c>
      <c r="D7" s="23">
        <f t="shared" si="4"/>
        <v>4665231075.7088776</v>
      </c>
      <c r="E7" s="23">
        <f>Campinas!E7</f>
        <v>5756925933.7661114</v>
      </c>
      <c r="F7" s="23">
        <f>Campinas!F7</f>
        <v>5325289157.9277105</v>
      </c>
      <c r="G7" s="23">
        <f t="shared" si="0"/>
        <v>431636775.83840084</v>
      </c>
      <c r="H7" s="23">
        <f t="shared" si="1"/>
        <v>56151123719.070465</v>
      </c>
      <c r="I7" s="23">
        <f t="shared" si="2"/>
        <v>51917529419.199989</v>
      </c>
      <c r="J7" s="23">
        <f t="shared" si="3"/>
        <v>4233594299.8704758</v>
      </c>
    </row>
    <row r="8" spans="1:13">
      <c r="A8" s="18">
        <v>2020</v>
      </c>
      <c r="B8" s="23">
        <f>'São Paulo'!E8</f>
        <v>64944864981.653969</v>
      </c>
      <c r="C8" s="23">
        <f>'São Paulo'!F8</f>
        <v>62568999917.098785</v>
      </c>
      <c r="D8" s="23">
        <f t="shared" si="4"/>
        <v>2375865064.5551834</v>
      </c>
      <c r="E8" s="23">
        <f>Campinas!E8</f>
        <v>6074730335.8735533</v>
      </c>
      <c r="F8" s="23">
        <f>Campinas!F8</f>
        <v>5477248278.428915</v>
      </c>
      <c r="G8" s="23">
        <f t="shared" si="0"/>
        <v>597482057.44463825</v>
      </c>
      <c r="H8" s="23">
        <f t="shared" si="1"/>
        <v>58870134645.780418</v>
      </c>
      <c r="I8" s="23">
        <f t="shared" si="2"/>
        <v>57091751638.669868</v>
      </c>
      <c r="J8" s="23">
        <f t="shared" si="3"/>
        <v>1778383007.1105499</v>
      </c>
    </row>
    <row r="9" spans="1:13">
      <c r="A9" s="18">
        <v>2021</v>
      </c>
      <c r="B9" s="23">
        <f>'São Paulo'!E9</f>
        <v>74810786842.600433</v>
      </c>
      <c r="C9" s="23">
        <f>'São Paulo'!F9</f>
        <v>70769429522.775909</v>
      </c>
      <c r="D9" s="23">
        <f t="shared" si="4"/>
        <v>4041357319.8245239</v>
      </c>
      <c r="E9" s="23">
        <f>Campinas!E9</f>
        <v>6907066809.6716537</v>
      </c>
      <c r="F9" s="23">
        <f>Campinas!F9</f>
        <v>6275483790.9975901</v>
      </c>
      <c r="G9" s="23">
        <f t="shared" si="0"/>
        <v>631583018.67406368</v>
      </c>
      <c r="H9" s="23">
        <f t="shared" si="1"/>
        <v>67903720032.92878</v>
      </c>
      <c r="I9" s="23">
        <f t="shared" si="2"/>
        <v>64493945731.77832</v>
      </c>
      <c r="J9" s="23">
        <f t="shared" si="3"/>
        <v>3409774301.1504593</v>
      </c>
    </row>
    <row r="10" spans="1:13">
      <c r="A10" s="18">
        <v>2022</v>
      </c>
      <c r="B10" s="23">
        <f>'São Paulo'!E10</f>
        <v>90121283967.447556</v>
      </c>
      <c r="C10" s="23">
        <f>'São Paulo'!F10</f>
        <v>87795990557.455414</v>
      </c>
      <c r="D10" s="23">
        <f t="shared" si="4"/>
        <v>2325293409.9921417</v>
      </c>
      <c r="E10" s="23">
        <f>Campinas!E10</f>
        <v>7661679871.1073484</v>
      </c>
      <c r="F10" s="23">
        <f>Campinas!F10</f>
        <v>6958595088.1734934</v>
      </c>
      <c r="G10" s="23">
        <f t="shared" si="0"/>
        <v>703084782.93385506</v>
      </c>
      <c r="H10" s="23">
        <f t="shared" si="1"/>
        <v>82459604096.34021</v>
      </c>
      <c r="I10" s="23">
        <f t="shared" si="2"/>
        <v>80837395469.281921</v>
      </c>
      <c r="J10" s="23">
        <f t="shared" si="3"/>
        <v>1622208627.0582886</v>
      </c>
    </row>
    <row r="11" spans="1:13">
      <c r="A11" s="18">
        <v>2023</v>
      </c>
      <c r="B11" s="23">
        <f>'São Paulo'!E11</f>
        <v>97758632123.435883</v>
      </c>
      <c r="C11" s="23">
        <f>'São Paulo'!F11</f>
        <v>102967916858.69878</v>
      </c>
      <c r="D11" s="23">
        <f t="shared" si="4"/>
        <v>-5209284735.2628937</v>
      </c>
      <c r="E11" s="23">
        <f>Campinas!E11</f>
        <v>8233670220.1524134</v>
      </c>
      <c r="F11" s="23">
        <f>Campinas!F11</f>
        <v>8023707113.0120478</v>
      </c>
      <c r="G11" s="23">
        <f t="shared" si="0"/>
        <v>209963107.1403656</v>
      </c>
      <c r="H11" s="23">
        <f t="shared" si="1"/>
        <v>89524961903.283463</v>
      </c>
      <c r="I11" s="23">
        <f t="shared" si="2"/>
        <v>94944209745.686722</v>
      </c>
      <c r="J11" s="23">
        <f t="shared" si="3"/>
        <v>-5419247842.4032593</v>
      </c>
    </row>
    <row r="12" spans="1:13">
      <c r="A12" s="18">
        <v>2024</v>
      </c>
      <c r="B12" s="23">
        <f>'São Paulo'!E12</f>
        <v>114141178512.55998</v>
      </c>
      <c r="C12" s="23">
        <f>'São Paulo'!F12</f>
        <v>119430538435.44096</v>
      </c>
      <c r="D12" s="23">
        <f t="shared" si="4"/>
        <v>-5289359922.8809814</v>
      </c>
      <c r="E12" s="23">
        <f>Campinas!E12</f>
        <v>9616904541.3491402</v>
      </c>
      <c r="F12" s="23">
        <f>Campinas!F12</f>
        <v>9024810008.5397587</v>
      </c>
      <c r="G12" s="23">
        <f t="shared" si="0"/>
        <v>592094532.80938148</v>
      </c>
      <c r="H12" s="23">
        <f t="shared" si="1"/>
        <v>104524273971.21085</v>
      </c>
      <c r="I12" s="23">
        <f t="shared" si="2"/>
        <v>110405728426.9012</v>
      </c>
      <c r="J12" s="23">
        <f t="shared" si="3"/>
        <v>-5881454455.6903534</v>
      </c>
    </row>
    <row r="13" spans="1:13">
      <c r="A13" s="18">
        <v>2025</v>
      </c>
      <c r="B13" s="23">
        <f>'São Paulo'!E13</f>
        <v>119774890196.63187</v>
      </c>
      <c r="C13" s="23">
        <f>'São Paulo'!F13</f>
        <v>119105355846.98795</v>
      </c>
      <c r="D13" s="23">
        <f t="shared" si="4"/>
        <v>669534349.6439209</v>
      </c>
      <c r="E13" s="23">
        <f>Campinas!E13</f>
        <v>10817374038.950043</v>
      </c>
      <c r="F13" s="23">
        <f>Campinas!F13</f>
        <v>10280978575.498795</v>
      </c>
      <c r="G13" s="23">
        <f t="shared" si="0"/>
        <v>536395463.45124817</v>
      </c>
      <c r="H13" s="23">
        <f t="shared" si="1"/>
        <v>108957516157.68182</v>
      </c>
      <c r="I13" s="23">
        <f t="shared" si="2"/>
        <v>108824377271.48915</v>
      </c>
      <c r="J13" s="23">
        <f t="shared" si="3"/>
        <v>133138886.19267273</v>
      </c>
    </row>
    <row r="15" spans="1:13">
      <c r="A15" s="37" t="s">
        <v>17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</row>
  </sheetData>
  <mergeCells count="5">
    <mergeCell ref="A15:M15"/>
    <mergeCell ref="B2:D2"/>
    <mergeCell ref="E2:G2"/>
    <mergeCell ref="H2:J2"/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A2C5-2A81-4F3E-9FDE-9B7239F57CE5}">
  <dimension ref="A1:E12"/>
  <sheetViews>
    <sheetView showGridLines="0" workbookViewId="0">
      <selection activeCell="B3" sqref="B3:E12"/>
    </sheetView>
  </sheetViews>
  <sheetFormatPr defaultRowHeight="15"/>
  <cols>
    <col min="2" max="2" width="22.28515625" customWidth="1"/>
    <col min="3" max="3" width="22" customWidth="1"/>
    <col min="4" max="4" width="20.85546875" customWidth="1"/>
    <col min="5" max="5" width="19.140625" customWidth="1"/>
    <col min="6" max="6" width="16.85546875" customWidth="1"/>
    <col min="7" max="7" width="16.28515625" customWidth="1"/>
    <col min="8" max="8" width="16.140625" customWidth="1"/>
    <col min="9" max="9" width="11.7109375" customWidth="1"/>
  </cols>
  <sheetData>
    <row r="1" spans="1:5">
      <c r="A1" s="32" t="s">
        <v>18</v>
      </c>
      <c r="B1" s="32"/>
      <c r="C1" s="32"/>
      <c r="D1" s="32"/>
      <c r="E1" s="32"/>
    </row>
    <row r="2" spans="1:5">
      <c r="A2" s="15" t="s">
        <v>2</v>
      </c>
      <c r="B2" s="19" t="s">
        <v>19</v>
      </c>
      <c r="C2" s="19" t="s">
        <v>20</v>
      </c>
      <c r="D2" s="20" t="s">
        <v>21</v>
      </c>
      <c r="E2" s="20" t="s">
        <v>22</v>
      </c>
    </row>
    <row r="3" spans="1:5">
      <c r="A3" s="15">
        <v>2016</v>
      </c>
      <c r="B3" s="25">
        <f>Comparativo!B4</f>
        <v>46672569043.672966</v>
      </c>
      <c r="C3" s="25">
        <f>Comparativo!C4</f>
        <v>47636162806.380722</v>
      </c>
      <c r="D3" s="25">
        <f>Comparativo!E4</f>
        <v>4226657899.7647943</v>
      </c>
      <c r="E3" s="25">
        <f>Comparativo!F4</f>
        <v>4334324904.7421684</v>
      </c>
    </row>
    <row r="4" spans="1:5">
      <c r="A4" s="15">
        <v>2017</v>
      </c>
      <c r="B4" s="25">
        <f>Comparativo!B5</f>
        <v>50814749044.717285</v>
      </c>
      <c r="C4" s="25">
        <f>Comparativo!C5</f>
        <v>49555690676.703613</v>
      </c>
      <c r="D4" s="25">
        <f>Comparativo!E5</f>
        <v>4341886124.7530346</v>
      </c>
      <c r="E4" s="25">
        <f>Comparativo!F5</f>
        <v>4549374152.3277102</v>
      </c>
    </row>
    <row r="5" spans="1:5">
      <c r="A5" s="15">
        <v>2018</v>
      </c>
      <c r="B5" s="25">
        <f>Comparativo!B6</f>
        <v>53987669183.714371</v>
      </c>
      <c r="C5" s="25">
        <f>Comparativo!C6</f>
        <v>52199654684.983124</v>
      </c>
      <c r="D5" s="25">
        <f>Comparativo!E6</f>
        <v>4773192619.5879202</v>
      </c>
      <c r="E5" s="25">
        <f>Comparativo!F6</f>
        <v>4707134647.5373487</v>
      </c>
    </row>
    <row r="6" spans="1:5">
      <c r="A6" s="15">
        <v>2019</v>
      </c>
      <c r="B6" s="25">
        <f>Comparativo!B7</f>
        <v>61908049652.836578</v>
      </c>
      <c r="C6" s="25">
        <f>Comparativo!C7</f>
        <v>57242818577.127701</v>
      </c>
      <c r="D6" s="25">
        <f>Comparativo!E7</f>
        <v>5756925933.7661114</v>
      </c>
      <c r="E6" s="25">
        <f>Comparativo!F7</f>
        <v>5325289157.9277105</v>
      </c>
    </row>
    <row r="7" spans="1:5">
      <c r="A7" s="15">
        <v>2020</v>
      </c>
      <c r="B7" s="25">
        <f>Comparativo!B8</f>
        <v>64944864981.653969</v>
      </c>
      <c r="C7" s="25">
        <f>Comparativo!C8</f>
        <v>62568999917.098785</v>
      </c>
      <c r="D7" s="25">
        <f>Comparativo!E8</f>
        <v>6074730335.8735533</v>
      </c>
      <c r="E7" s="25">
        <f>Comparativo!F8</f>
        <v>5477248278.428915</v>
      </c>
    </row>
    <row r="8" spans="1:5">
      <c r="A8" s="15">
        <v>2021</v>
      </c>
      <c r="B8" s="25">
        <f>Comparativo!B9</f>
        <v>74810786842.600433</v>
      </c>
      <c r="C8" s="25">
        <f>Comparativo!C9</f>
        <v>70769429522.775909</v>
      </c>
      <c r="D8" s="25">
        <f>Comparativo!E9</f>
        <v>6907066809.6716537</v>
      </c>
      <c r="E8" s="25">
        <f>Comparativo!F9</f>
        <v>6275483790.9975901</v>
      </c>
    </row>
    <row r="9" spans="1:5">
      <c r="A9" s="15">
        <v>2022</v>
      </c>
      <c r="B9" s="25">
        <f>Comparativo!B10</f>
        <v>90121283967.447556</v>
      </c>
      <c r="C9" s="25">
        <f>Comparativo!C10</f>
        <v>87795990557.455414</v>
      </c>
      <c r="D9" s="25">
        <f>Comparativo!E10</f>
        <v>7661679871.1073484</v>
      </c>
      <c r="E9" s="25">
        <f>Comparativo!F10</f>
        <v>6958595088.1734934</v>
      </c>
    </row>
    <row r="10" spans="1:5">
      <c r="A10" s="15">
        <v>2023</v>
      </c>
      <c r="B10" s="25">
        <f>Comparativo!B11</f>
        <v>97758632123.435883</v>
      </c>
      <c r="C10" s="25">
        <f>Comparativo!C11</f>
        <v>102967916858.69878</v>
      </c>
      <c r="D10" s="25">
        <f>Comparativo!E11</f>
        <v>8233670220.1524134</v>
      </c>
      <c r="E10" s="25">
        <f>Comparativo!F11</f>
        <v>8023707113.0120478</v>
      </c>
    </row>
    <row r="11" spans="1:5">
      <c r="A11" s="15">
        <v>2024</v>
      </c>
      <c r="B11" s="25">
        <f>Comparativo!B12</f>
        <v>114141178512.55998</v>
      </c>
      <c r="C11" s="25">
        <f>Comparativo!C12</f>
        <v>119430538435.44096</v>
      </c>
      <c r="D11" s="25">
        <f>Comparativo!E12</f>
        <v>9616904541.3491402</v>
      </c>
      <c r="E11" s="25">
        <f>Comparativo!F12</f>
        <v>9024810008.5397587</v>
      </c>
    </row>
    <row r="12" spans="1:5">
      <c r="A12" s="15">
        <v>2025</v>
      </c>
      <c r="B12" s="25">
        <f>Comparativo!B13</f>
        <v>119774890196.63187</v>
      </c>
      <c r="C12" s="25">
        <f>Comparativo!C13</f>
        <v>119105355846.98795</v>
      </c>
      <c r="D12" s="25">
        <f>Comparativo!E13</f>
        <v>10817374038.950043</v>
      </c>
      <c r="E12" s="25">
        <f>Comparativo!F13</f>
        <v>10280978575.498795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2026-05-08T03:52:11Z</dcterms:created>
  <dcterms:modified xsi:type="dcterms:W3CDTF">2026-05-09T17:39:30Z</dcterms:modified>
  <cp:category/>
  <cp:contentStatus/>
</cp:coreProperties>
</file>