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69FEC4B1-37E7-4F7F-BD07-AB97D4552F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6" i="1"/>
  <c r="C15" i="1"/>
  <c r="C14" i="1"/>
</calcChain>
</file>

<file path=xl/sharedStrings.xml><?xml version="1.0" encoding="utf-8"?>
<sst xmlns="http://schemas.openxmlformats.org/spreadsheetml/2006/main" count="9" uniqueCount="9">
  <si>
    <t xml:space="preserve">Ano </t>
  </si>
  <si>
    <t>Investimento Público 
(% PIB)</t>
  </si>
  <si>
    <t>Taxa de analfabetismo 
(18-24 anos)</t>
  </si>
  <si>
    <t>Fonte: IBGE - Pesquisa Nacional por Amostrada de Domicílios Contínua Anual</t>
  </si>
  <si>
    <t>Correlação de Pearson</t>
  </si>
  <si>
    <t>Coeficiente Angular</t>
  </si>
  <si>
    <t>Intercepto</t>
  </si>
  <si>
    <t>R² 
(Coeficiente de Determinação)</t>
  </si>
  <si>
    <t>P-valor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</si>
</sst>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2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165" fontId="2" fillId="2" borderId="1" xfId="1" applyNumberFormat="1" applyFont="1" applyFill="1" applyBorder="1" applyAlignment="1">
      <alignment horizontal="right" vertical="center"/>
    </xf>
    <xf numFmtId="10" fontId="0" fillId="2" borderId="1" xfId="0" applyNumberFormat="1" applyFill="1" applyBorder="1"/>
    <xf numFmtId="0" fontId="4" fillId="0" borderId="1" xfId="0" applyFont="1" applyBorder="1"/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165" fontId="2" fillId="4" borderId="1" xfId="1" applyNumberFormat="1" applyFont="1" applyFill="1" applyBorder="1" applyAlignment="1">
      <alignment horizontal="right" vertical="center"/>
    </xf>
    <xf numFmtId="10" fontId="0" fillId="4" borderId="1" xfId="0" applyNumberFormat="1" applyFill="1" applyBorder="1"/>
    <xf numFmtId="0" fontId="5" fillId="0" borderId="0" xfId="0" applyFont="1" applyAlignment="1">
      <alignment horizontal="left"/>
    </xf>
    <xf numFmtId="0" fontId="0" fillId="0" borderId="1" xfId="0" applyBorder="1"/>
    <xf numFmtId="0" fontId="4" fillId="0" borderId="2" xfId="0" applyFont="1" applyBorder="1" applyAlignment="1">
      <alignment horizontal="left" vertical="center" wrapText="1"/>
    </xf>
    <xf numFmtId="2" fontId="0" fillId="0" borderId="2" xfId="0" applyNumberForma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Gasto Publico_SerieHistorica" xfId="1" xr:uid="{5A0C7D68-6DDE-4D6C-BC66-63D5F9E46F7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Analfabetismo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Taxa de analfabetismo (18 - 24 anos)</c:v>
          </c:tx>
          <c:spPr>
            <a:solidFill>
              <a:srgbClr val="145F82"/>
            </a:solidFill>
            <a:ln>
              <a:noFill/>
            </a:ln>
            <a:effectLst/>
          </c:spPr>
          <c:invertIfNegative val="0"/>
          <c:cat>
            <c:numRef>
              <c:f>Dados!$B$3:$B$9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2024</c:v>
                </c:pt>
              </c:numCache>
            </c:numRef>
          </c:cat>
          <c:val>
            <c:numRef>
              <c:f>Dados!$D$3:$D$9</c:f>
              <c:numCache>
                <c:formatCode>0.00%</c:formatCode>
                <c:ptCount val="7"/>
                <c:pt idx="0">
                  <c:v>7.0999999999999994E-2</c:v>
                </c:pt>
                <c:pt idx="1">
                  <c:v>6.9000000000000006E-2</c:v>
                </c:pt>
                <c:pt idx="2">
                  <c:v>6.7000000000000004E-2</c:v>
                </c:pt>
                <c:pt idx="3">
                  <c:v>6.5000000000000002E-2</c:v>
                </c:pt>
                <c:pt idx="4">
                  <c:v>5.8999999999999997E-2</c:v>
                </c:pt>
                <c:pt idx="5">
                  <c:v>5.7000000000000002E-2</c:v>
                </c:pt>
                <c:pt idx="6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98-4672-8B0C-415A2F2CD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664071"/>
        <c:axId val="1800666119"/>
      </c:barChart>
      <c:catAx>
        <c:axId val="180066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66119"/>
        <c:crosses val="autoZero"/>
        <c:auto val="1"/>
        <c:lblAlgn val="ctr"/>
        <c:lblOffset val="100"/>
        <c:noMultiLvlLbl val="0"/>
      </c:catAx>
      <c:valAx>
        <c:axId val="180066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6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Investimento x Analfabetismo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Dados!$D$2</c:f>
              <c:strCache>
                <c:ptCount val="1"/>
                <c:pt idx="0">
                  <c:v>Taxa de analfabetismo 
(18-24 anos)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Dados!$C$3:$C$9</c:f>
              <c:numCache>
                <c:formatCode>0.0%</c:formatCode>
                <c:ptCount val="7"/>
                <c:pt idx="0">
                  <c:v>5.0841795842228102E-2</c:v>
                </c:pt>
                <c:pt idx="1">
                  <c:v>5.1779142841211302E-2</c:v>
                </c:pt>
                <c:pt idx="2">
                  <c:v>5.15819291950253E-2</c:v>
                </c:pt>
                <c:pt idx="3">
                  <c:v>5.16187142880314E-2</c:v>
                </c:pt>
                <c:pt idx="4">
                  <c:v>4.9781798077311201E-2</c:v>
                </c:pt>
                <c:pt idx="5">
                  <c:v>4.8815879233814898E-2</c:v>
                </c:pt>
                <c:pt idx="6">
                  <c:v>4.6750401499443803E-2</c:v>
                </c:pt>
              </c:numCache>
            </c:numRef>
          </c:xVal>
          <c:yVal>
            <c:numRef>
              <c:f>Dados!$D$3:$D$9</c:f>
              <c:numCache>
                <c:formatCode>0.00%</c:formatCode>
                <c:ptCount val="7"/>
                <c:pt idx="0">
                  <c:v>7.0999999999999994E-2</c:v>
                </c:pt>
                <c:pt idx="1">
                  <c:v>6.9000000000000006E-2</c:v>
                </c:pt>
                <c:pt idx="2">
                  <c:v>6.7000000000000004E-2</c:v>
                </c:pt>
                <c:pt idx="3">
                  <c:v>6.5000000000000002E-2</c:v>
                </c:pt>
                <c:pt idx="4">
                  <c:v>5.8999999999999997E-2</c:v>
                </c:pt>
                <c:pt idx="5">
                  <c:v>5.7000000000000002E-2</c:v>
                </c:pt>
                <c:pt idx="6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F-4E3E-9969-9AF343E26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13799"/>
        <c:axId val="913315847"/>
      </c:scatterChart>
      <c:valAx>
        <c:axId val="913313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Investimento Público (% PIB)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15847"/>
        <c:crosses val="autoZero"/>
        <c:crossBetween val="midCat"/>
      </c:valAx>
      <c:valAx>
        <c:axId val="913315847"/>
        <c:scaling>
          <c:orientation val="minMax"/>
          <c:min val="5.2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Taxa de analfabetismo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13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</xdr:row>
      <xdr:rowOff>114300</xdr:rowOff>
    </xdr:from>
    <xdr:to>
      <xdr:col>7</xdr:col>
      <xdr:colOff>1057275</xdr:colOff>
      <xdr:row>15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C237D0-7140-BE10-5FA4-2A4E899F2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1162050</xdr:colOff>
      <xdr:row>1</xdr:row>
      <xdr:rowOff>104775</xdr:rowOff>
    </xdr:from>
    <xdr:to>
      <xdr:col>15</xdr:col>
      <xdr:colOff>523875</xdr:colOff>
      <xdr:row>15</xdr:row>
      <xdr:rowOff>200025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1D8128F-6A69-2882-8CC9-8319A7510570}"/>
            </a:ext>
            <a:ext uri="{147F2762-F138-4A5C-976F-8EAC2B608ADB}">
              <a16:predDERef xmlns:a16="http://schemas.microsoft.com/office/drawing/2014/main" pred="{85C237D0-7140-BE10-5FA4-2A4E899F2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7"/>
  <sheetViews>
    <sheetView showGridLines="0" tabSelected="1" workbookViewId="0">
      <selection activeCell="B2" sqref="B2:D2"/>
    </sheetView>
  </sheetViews>
  <sheetFormatPr defaultRowHeight="15"/>
  <cols>
    <col min="1" max="1" width="2" customWidth="1"/>
    <col min="2" max="2" width="21.28515625" customWidth="1"/>
    <col min="3" max="3" width="18.42578125" customWidth="1"/>
    <col min="4" max="4" width="20.7109375" customWidth="1"/>
    <col min="5" max="5" width="21.42578125" customWidth="1"/>
    <col min="6" max="6" width="19.42578125" customWidth="1"/>
    <col min="7" max="7" width="18.5703125" customWidth="1"/>
    <col min="8" max="8" width="18.28515625" customWidth="1"/>
  </cols>
  <sheetData>
    <row r="1" spans="2:8" ht="6.75" customHeight="1"/>
    <row r="2" spans="2:8" ht="43.5">
      <c r="B2" s="15" t="s">
        <v>0</v>
      </c>
      <c r="C2" s="16" t="s">
        <v>1</v>
      </c>
      <c r="D2" s="16" t="s">
        <v>2</v>
      </c>
      <c r="H2" s="2"/>
    </row>
    <row r="3" spans="2:8">
      <c r="B3" s="8">
        <v>2016</v>
      </c>
      <c r="C3" s="9">
        <v>5.0841795842228102E-2</v>
      </c>
      <c r="D3" s="10">
        <v>7.0999999999999994E-2</v>
      </c>
    </row>
    <row r="4" spans="2:8">
      <c r="B4" s="1">
        <v>2017</v>
      </c>
      <c r="C4" s="4">
        <v>5.1779142841211302E-2</v>
      </c>
      <c r="D4" s="5">
        <v>6.9000000000000006E-2</v>
      </c>
    </row>
    <row r="5" spans="2:8">
      <c r="B5" s="8">
        <v>2018</v>
      </c>
      <c r="C5" s="9">
        <v>5.15819291950253E-2</v>
      </c>
      <c r="D5" s="10">
        <v>6.7000000000000004E-2</v>
      </c>
    </row>
    <row r="6" spans="2:8">
      <c r="B6" s="1">
        <v>2019</v>
      </c>
      <c r="C6" s="4">
        <v>5.16187142880314E-2</v>
      </c>
      <c r="D6" s="5">
        <v>6.5000000000000002E-2</v>
      </c>
    </row>
    <row r="7" spans="2:8">
      <c r="B7" s="8">
        <v>2020</v>
      </c>
      <c r="C7" s="9">
        <v>4.9781798077311201E-2</v>
      </c>
      <c r="D7" s="10">
        <v>5.8999999999999997E-2</v>
      </c>
    </row>
    <row r="8" spans="2:8">
      <c r="B8" s="1">
        <v>2021</v>
      </c>
      <c r="C8" s="4">
        <v>4.8815879233814898E-2</v>
      </c>
      <c r="D8" s="5">
        <v>5.7000000000000002E-2</v>
      </c>
    </row>
    <row r="9" spans="2:8">
      <c r="B9" s="8">
        <v>2024</v>
      </c>
      <c r="C9" s="9">
        <v>4.6750401499443803E-2</v>
      </c>
      <c r="D9" s="10">
        <v>5.6000000000000001E-2</v>
      </c>
    </row>
    <row r="11" spans="2:8">
      <c r="B11" s="11" t="s">
        <v>3</v>
      </c>
      <c r="C11" s="11"/>
      <c r="D11" s="11"/>
      <c r="E11" s="11"/>
    </row>
    <row r="12" spans="2:8">
      <c r="E12" s="3"/>
    </row>
    <row r="13" spans="2:8">
      <c r="B13" s="6" t="s">
        <v>4</v>
      </c>
      <c r="C13" s="7">
        <f>CORREL($C$3:C$9,D3:D9)</f>
        <v>0.84587217830479999</v>
      </c>
    </row>
    <row r="14" spans="2:8">
      <c r="B14" s="6" t="s">
        <v>5</v>
      </c>
      <c r="C14" s="7">
        <f>SLOPE(D3:D9,C3:C9)</f>
        <v>2.7484535017716394</v>
      </c>
    </row>
    <row r="15" spans="2:8">
      <c r="B15" s="6" t="s">
        <v>6</v>
      </c>
      <c r="C15" s="7">
        <f>INTERCEPT(D3:D9,C3:C9)</f>
        <v>-7.4453354918339501E-2</v>
      </c>
    </row>
    <row r="16" spans="2:8" ht="43.5">
      <c r="B16" s="13" t="s">
        <v>7</v>
      </c>
      <c r="C16" s="14">
        <f>RSQ(D3:D9,C3:C9)</f>
        <v>0.71549974203010758</v>
      </c>
    </row>
    <row r="17" spans="2:3">
      <c r="B17" s="6" t="s">
        <v>8</v>
      </c>
      <c r="C17" s="12">
        <v>1.6500000000000001E-2</v>
      </c>
    </row>
  </sheetData>
  <mergeCells count="1">
    <mergeCell ref="B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2026-05-09T19:49:53Z</dcterms:created>
  <dcterms:modified xsi:type="dcterms:W3CDTF">2026-05-09T21:24:14Z</dcterms:modified>
  <cp:category/>
  <cp:contentStatus/>
</cp:coreProperties>
</file>